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tud365-my.sharepoint.com/personal/jessedevries_tudelft_nl/Documents/"/>
    </mc:Choice>
  </mc:AlternateContent>
  <xr:revisionPtr revIDLastSave="733" documentId="8_{ED07A086-B696-43E7-8FE2-639705BC5D8E}" xr6:coauthVersionLast="47" xr6:coauthVersionMax="47" xr10:uidLastSave="{DBCE4AA4-9386-4C2C-87B7-8AAC9417EE5D}"/>
  <bookViews>
    <workbookView xWindow="-108" yWindow="-108" windowWidth="23256" windowHeight="12456" firstSheet="1" activeTab="1" xr2:uid="{00000000-000D-0000-FFFF-FFFF00000000}"/>
  </bookViews>
  <sheets>
    <sheet name="Overview" sheetId="1" r:id="rId1"/>
    <sheet name="averagin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sx7ld2HFlJbE7qk87lWm9wmXuUk7ko2MinL0xmg6F/s="/>
    </ext>
  </extLst>
</workbook>
</file>

<file path=xl/calcChain.xml><?xml version="1.0" encoding="utf-8"?>
<calcChain xmlns="http://schemas.openxmlformats.org/spreadsheetml/2006/main">
  <c r="U66" i="2" l="1"/>
  <c r="G75" i="1" s="1"/>
  <c r="T66" i="2"/>
  <c r="S66" i="2"/>
  <c r="J75" i="1" s="1"/>
  <c r="T50" i="2"/>
  <c r="K64" i="1" s="1"/>
  <c r="O66" i="2"/>
  <c r="M75" i="1" s="1"/>
  <c r="O10" i="2"/>
  <c r="M59" i="1" s="1"/>
  <c r="V74" i="2"/>
  <c r="B76" i="1" s="1"/>
  <c r="U74" i="2"/>
  <c r="G76" i="1" s="1"/>
  <c r="T74" i="2"/>
  <c r="K76" i="1" s="1"/>
  <c r="S74" i="2"/>
  <c r="J76" i="1" s="1"/>
  <c r="R74" i="2"/>
  <c r="H76" i="1" s="1"/>
  <c r="Q74" i="2"/>
  <c r="L76" i="1" s="1"/>
  <c r="P74" i="2"/>
  <c r="I76" i="1" s="1"/>
  <c r="O74" i="2"/>
  <c r="M76" i="1" s="1"/>
  <c r="N74" i="2"/>
  <c r="D76" i="1" s="1"/>
  <c r="M74" i="2"/>
  <c r="E76" i="1" s="1"/>
  <c r="L74" i="2"/>
  <c r="F76" i="1" s="1"/>
  <c r="V66" i="2"/>
  <c r="B75" i="1" s="1"/>
  <c r="K75" i="1"/>
  <c r="R66" i="2"/>
  <c r="H75" i="1" s="1"/>
  <c r="Q66" i="2"/>
  <c r="L75" i="1" s="1"/>
  <c r="P66" i="2"/>
  <c r="I75" i="1" s="1"/>
  <c r="N66" i="2"/>
  <c r="M66" i="2"/>
  <c r="L66" i="2"/>
  <c r="V58" i="2"/>
  <c r="B65" i="1" s="1"/>
  <c r="U58" i="2"/>
  <c r="G65" i="1" s="1"/>
  <c r="T58" i="2"/>
  <c r="K65" i="1" s="1"/>
  <c r="S58" i="2"/>
  <c r="J65" i="1" s="1"/>
  <c r="R58" i="2"/>
  <c r="H65" i="1" s="1"/>
  <c r="Q58" i="2"/>
  <c r="L65" i="1" s="1"/>
  <c r="P58" i="2"/>
  <c r="I65" i="1" s="1"/>
  <c r="O58" i="2"/>
  <c r="M65" i="1" s="1"/>
  <c r="N58" i="2"/>
  <c r="M58" i="2"/>
  <c r="L58" i="2"/>
  <c r="V50" i="2"/>
  <c r="B64" i="1" s="1"/>
  <c r="U50" i="2"/>
  <c r="G64" i="1" s="1"/>
  <c r="S50" i="2"/>
  <c r="J64" i="1" s="1"/>
  <c r="R50" i="2"/>
  <c r="H64" i="1" s="1"/>
  <c r="Q50" i="2"/>
  <c r="L64" i="1" s="1"/>
  <c r="P50" i="2"/>
  <c r="I64" i="1" s="1"/>
  <c r="O50" i="2"/>
  <c r="M64" i="1" s="1"/>
  <c r="N50" i="2"/>
  <c r="D64" i="1" s="1"/>
  <c r="M50" i="2"/>
  <c r="E64" i="1" s="1"/>
  <c r="L50" i="2"/>
  <c r="F64" i="1" s="1"/>
  <c r="I50" i="2"/>
  <c r="B33" i="1" s="1"/>
  <c r="H50" i="2"/>
  <c r="F33" i="1" s="1"/>
  <c r="G50" i="2"/>
  <c r="I33" i="1" s="1"/>
  <c r="F50" i="2"/>
  <c r="H33" i="1" s="1"/>
  <c r="E50" i="2"/>
  <c r="G33" i="1" s="1"/>
  <c r="D50" i="2"/>
  <c r="J33" i="1" s="1"/>
  <c r="C50" i="2"/>
  <c r="E33" i="1" s="1"/>
  <c r="B50" i="2"/>
  <c r="D33" i="1" s="1"/>
  <c r="V42" i="2"/>
  <c r="B63" i="1" s="1"/>
  <c r="U42" i="2"/>
  <c r="G63" i="1" s="1"/>
  <c r="T42" i="2"/>
  <c r="K63" i="1" s="1"/>
  <c r="S42" i="2"/>
  <c r="J63" i="1" s="1"/>
  <c r="R42" i="2"/>
  <c r="H63" i="1" s="1"/>
  <c r="Q42" i="2"/>
  <c r="L63" i="1" s="1"/>
  <c r="P42" i="2"/>
  <c r="I63" i="1" s="1"/>
  <c r="O42" i="2"/>
  <c r="M63" i="1" s="1"/>
  <c r="N42" i="2"/>
  <c r="M42" i="2"/>
  <c r="E63" i="1" s="1"/>
  <c r="L42" i="2"/>
  <c r="F63" i="1" s="1"/>
  <c r="I42" i="2"/>
  <c r="B32" i="1" s="1"/>
  <c r="H42" i="2"/>
  <c r="F32" i="1" s="1"/>
  <c r="G42" i="2"/>
  <c r="I32" i="1" s="1"/>
  <c r="F42" i="2"/>
  <c r="H32" i="1" s="1"/>
  <c r="E42" i="2"/>
  <c r="G32" i="1" s="1"/>
  <c r="D42" i="2"/>
  <c r="J32" i="1" s="1"/>
  <c r="C42" i="2"/>
  <c r="E32" i="1" s="1"/>
  <c r="B42" i="2"/>
  <c r="D32" i="1" s="1"/>
  <c r="V34" i="2"/>
  <c r="B62" i="1" s="1"/>
  <c r="U34" i="2"/>
  <c r="G62" i="1" s="1"/>
  <c r="T34" i="2"/>
  <c r="K62" i="1" s="1"/>
  <c r="S34" i="2"/>
  <c r="J62" i="1" s="1"/>
  <c r="R34" i="2"/>
  <c r="H62" i="1" s="1"/>
  <c r="Q34" i="2"/>
  <c r="L62" i="1" s="1"/>
  <c r="P34" i="2"/>
  <c r="I62" i="1" s="1"/>
  <c r="O34" i="2"/>
  <c r="M62" i="1" s="1"/>
  <c r="N34" i="2"/>
  <c r="M34" i="2"/>
  <c r="L34" i="2"/>
  <c r="I34" i="2"/>
  <c r="B31" i="1" s="1"/>
  <c r="H34" i="2"/>
  <c r="F31" i="1" s="1"/>
  <c r="G34" i="2"/>
  <c r="I31" i="1" s="1"/>
  <c r="F34" i="2"/>
  <c r="H31" i="1" s="1"/>
  <c r="E34" i="2"/>
  <c r="D34" i="2"/>
  <c r="J31" i="1" s="1"/>
  <c r="C34" i="2"/>
  <c r="E31" i="1" s="1"/>
  <c r="B34" i="2"/>
  <c r="D31" i="1" s="1"/>
  <c r="V26" i="2"/>
  <c r="B61" i="1" s="1"/>
  <c r="U26" i="2"/>
  <c r="G61" i="1" s="1"/>
  <c r="T26" i="2"/>
  <c r="K61" i="1" s="1"/>
  <c r="S26" i="2"/>
  <c r="J61" i="1" s="1"/>
  <c r="R26" i="2"/>
  <c r="H61" i="1" s="1"/>
  <c r="Q26" i="2"/>
  <c r="L61" i="1" s="1"/>
  <c r="P26" i="2"/>
  <c r="I61" i="1" s="1"/>
  <c r="O26" i="2"/>
  <c r="M61" i="1" s="1"/>
  <c r="N26" i="2"/>
  <c r="M26" i="2"/>
  <c r="L26" i="2"/>
  <c r="I26" i="2"/>
  <c r="B30" i="1" s="1"/>
  <c r="H26" i="2"/>
  <c r="G26" i="2"/>
  <c r="I30" i="1" s="1"/>
  <c r="F26" i="2"/>
  <c r="H30" i="1" s="1"/>
  <c r="E26" i="2"/>
  <c r="D26" i="2"/>
  <c r="J30" i="1" s="1"/>
  <c r="C26" i="2"/>
  <c r="B26" i="2"/>
  <c r="D30" i="1" s="1"/>
  <c r="V18" i="2"/>
  <c r="B60" i="1" s="1"/>
  <c r="U18" i="2"/>
  <c r="G60" i="1" s="1"/>
  <c r="T18" i="2"/>
  <c r="K60" i="1" s="1"/>
  <c r="S18" i="2"/>
  <c r="J60" i="1" s="1"/>
  <c r="R18" i="2"/>
  <c r="H60" i="1" s="1"/>
  <c r="Q18" i="2"/>
  <c r="L60" i="1" s="1"/>
  <c r="P18" i="2"/>
  <c r="I60" i="1" s="1"/>
  <c r="O18" i="2"/>
  <c r="M60" i="1" s="1"/>
  <c r="N18" i="2"/>
  <c r="M18" i="2"/>
  <c r="L18" i="2"/>
  <c r="I18" i="2"/>
  <c r="B29" i="1" s="1"/>
  <c r="H18" i="2"/>
  <c r="F29" i="1" s="1"/>
  <c r="G18" i="2"/>
  <c r="I29" i="1" s="1"/>
  <c r="F18" i="2"/>
  <c r="H29" i="1" s="1"/>
  <c r="E18" i="2"/>
  <c r="G29" i="1" s="1"/>
  <c r="D18" i="2"/>
  <c r="J29" i="1" s="1"/>
  <c r="C18" i="2"/>
  <c r="E29" i="1" s="1"/>
  <c r="B18" i="2"/>
  <c r="D29" i="1" s="1"/>
  <c r="V10" i="2"/>
  <c r="B59" i="1" s="1"/>
  <c r="U10" i="2"/>
  <c r="G59" i="1" s="1"/>
  <c r="T10" i="2"/>
  <c r="K59" i="1" s="1"/>
  <c r="S10" i="2"/>
  <c r="J59" i="1" s="1"/>
  <c r="R10" i="2"/>
  <c r="H59" i="1" s="1"/>
  <c r="Q10" i="2"/>
  <c r="L59" i="1" s="1"/>
  <c r="P10" i="2"/>
  <c r="I59" i="1" s="1"/>
  <c r="N10" i="2"/>
  <c r="M10" i="2"/>
  <c r="L10" i="2"/>
  <c r="I10" i="2"/>
  <c r="B28" i="1" s="1"/>
  <c r="H10" i="2"/>
  <c r="F28" i="1" s="1"/>
  <c r="G10" i="2"/>
  <c r="I28" i="1" s="1"/>
  <c r="F10" i="2"/>
  <c r="H28" i="1" s="1"/>
  <c r="E10" i="2"/>
  <c r="D10" i="2"/>
  <c r="C10" i="2"/>
  <c r="E28" i="1" s="1"/>
  <c r="B10" i="2"/>
  <c r="D28" i="1" s="1"/>
  <c r="F75" i="1"/>
  <c r="E75" i="1"/>
  <c r="D75" i="1"/>
  <c r="F65" i="1"/>
  <c r="E65" i="1"/>
  <c r="D65" i="1"/>
  <c r="D63" i="1"/>
  <c r="F62" i="1"/>
  <c r="E62" i="1"/>
  <c r="D62" i="1"/>
  <c r="F61" i="1"/>
  <c r="E61" i="1"/>
  <c r="D61" i="1"/>
  <c r="F60" i="1"/>
  <c r="E60" i="1"/>
  <c r="D60" i="1"/>
  <c r="F59" i="1"/>
  <c r="E59" i="1"/>
  <c r="D59" i="1"/>
  <c r="B34" i="1"/>
  <c r="G31" i="1"/>
  <c r="G30" i="1"/>
  <c r="F30" i="1"/>
  <c r="E30" i="1"/>
  <c r="J28" i="1"/>
  <c r="G28" i="1"/>
</calcChain>
</file>

<file path=xl/sharedStrings.xml><?xml version="1.0" encoding="utf-8"?>
<sst xmlns="http://schemas.openxmlformats.org/spreadsheetml/2006/main" count="560" uniqueCount="101">
  <si>
    <t>Post-Flight Data Sheet AE3202</t>
  </si>
  <si>
    <t>date of flight:</t>
  </si>
  <si>
    <t>T/O time:</t>
  </si>
  <si>
    <t>flight number:</t>
  </si>
  <si>
    <t>LND time:</t>
  </si>
  <si>
    <t>Weights</t>
  </si>
  <si>
    <t>name</t>
  </si>
  <si>
    <t>mass [kg]</t>
  </si>
  <si>
    <t>pilot 1:</t>
  </si>
  <si>
    <t>Hans Mulder</t>
  </si>
  <si>
    <t>pilot 2:</t>
  </si>
  <si>
    <t>Alexander in 't Veld</t>
  </si>
  <si>
    <t>co-ordinator:</t>
  </si>
  <si>
    <t>Maurice+Bram</t>
  </si>
  <si>
    <t>observer 1L:</t>
  </si>
  <si>
    <t>Jesse de Vries</t>
  </si>
  <si>
    <t>observer 1R:</t>
  </si>
  <si>
    <t>Dennis Spelt</t>
  </si>
  <si>
    <t>observer 2L:</t>
  </si>
  <si>
    <t>Mattis Hilgeman</t>
  </si>
  <si>
    <t>observer 2R:</t>
  </si>
  <si>
    <t>Patrick Blok</t>
  </si>
  <si>
    <t>observer 3L:</t>
  </si>
  <si>
    <t>Tim Jacobs</t>
  </si>
  <si>
    <t>observer 3R:</t>
  </si>
  <si>
    <t>Jens Dijk</t>
  </si>
  <si>
    <t>block fuel [lbs]:</t>
  </si>
  <si>
    <t>Stationary measurements CL-CD Series 1</t>
  </si>
  <si>
    <t>Aircraft configuration:</t>
  </si>
  <si>
    <t>clean</t>
  </si>
  <si>
    <t>,</t>
  </si>
  <si>
    <t>time</t>
  </si>
  <si>
    <t>ET*</t>
  </si>
  <si>
    <t>hp</t>
  </si>
  <si>
    <t>IAS</t>
  </si>
  <si>
    <t>a</t>
  </si>
  <si>
    <t>FFl</t>
  </si>
  <si>
    <t>FFr</t>
  </si>
  <si>
    <t>F. used</t>
  </si>
  <si>
    <t>TAT</t>
  </si>
  <si>
    <t>[hrs:min]</t>
  </si>
  <si>
    <t>[sec]</t>
  </si>
  <si>
    <t>[ft]</t>
  </si>
  <si>
    <t>[kts]</t>
  </si>
  <si>
    <t>[deg]</t>
  </si>
  <si>
    <t>[lbs/hr]</t>
  </si>
  <si>
    <t>[lbs]</t>
  </si>
  <si>
    <t>[°C]</t>
  </si>
  <si>
    <t>-</t>
  </si>
  <si>
    <t>* ET = Elapsed Time</t>
  </si>
  <si>
    <t>Stationary measurements CL - CD Series 2</t>
  </si>
  <si>
    <t>Aircraft configuration :</t>
  </si>
  <si>
    <t>nr.</t>
  </si>
  <si>
    <t>[hh:mm]</t>
  </si>
  <si>
    <t>Stationary measurements Elevator Trim Curve</t>
  </si>
  <si>
    <t>de</t>
  </si>
  <si>
    <t>detr</t>
  </si>
  <si>
    <t>Fe</t>
  </si>
  <si>
    <t>[N]</t>
  </si>
  <si>
    <t>Shift in center of gravity</t>
  </si>
  <si>
    <t>name:</t>
  </si>
  <si>
    <t>Jens</t>
  </si>
  <si>
    <t>position:</t>
  </si>
  <si>
    <t>3R</t>
  </si>
  <si>
    <t>moved to position:</t>
  </si>
  <si>
    <t>Cockpit</t>
  </si>
  <si>
    <t>Eigenmotions</t>
  </si>
  <si>
    <t>Time</t>
  </si>
  <si>
    <t>Phugoid</t>
  </si>
  <si>
    <t>Dutch Roll</t>
  </si>
  <si>
    <t>Aper. Roll</t>
  </si>
  <si>
    <t>Short period</t>
  </si>
  <si>
    <t>Dutch Roll YD</t>
  </si>
  <si>
    <t xml:space="preserve">Spiral </t>
  </si>
  <si>
    <t>Series 1 measurements</t>
  </si>
  <si>
    <t>Series 2 measurements</t>
  </si>
  <si>
    <t>h</t>
  </si>
  <si>
    <t>V</t>
  </si>
  <si>
    <t>FFI</t>
  </si>
  <si>
    <t>FFR</t>
  </si>
  <si>
    <t>Wf</t>
  </si>
  <si>
    <t>Aoa</t>
  </si>
  <si>
    <t>det</t>
  </si>
  <si>
    <t>d_e</t>
  </si>
  <si>
    <t>Test 1</t>
  </si>
  <si>
    <t>Jesse</t>
  </si>
  <si>
    <t>Dennis</t>
  </si>
  <si>
    <t>Mattis</t>
  </si>
  <si>
    <t>Patrick</t>
  </si>
  <si>
    <t xml:space="preserve">Tim </t>
  </si>
  <si>
    <t>Average</t>
  </si>
  <si>
    <t>Test 2</t>
  </si>
  <si>
    <t>Test 3</t>
  </si>
  <si>
    <t>Test 4</t>
  </si>
  <si>
    <t>Test 5</t>
  </si>
  <si>
    <t>Test 6</t>
  </si>
  <si>
    <t>Test 7</t>
  </si>
  <si>
    <t>Test 8</t>
  </si>
  <si>
    <t>Gravity2</t>
  </si>
  <si>
    <t>Test 9</t>
  </si>
  <si>
    <t>Mr C.G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</si>
</sst>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F400]h:mm:ss\ AM/PM"/>
  </numFmts>
  <fonts count="6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u/>
      <sz val="11"/>
      <color theme="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center"/>
    </xf>
    <xf numFmtId="164" fontId="2" fillId="0" borderId="0" xfId="0" applyNumberFormat="1" applyFont="1"/>
    <xf numFmtId="21" fontId="3" fillId="0" borderId="0" xfId="0" applyNumberFormat="1" applyFont="1"/>
    <xf numFmtId="1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  <xf numFmtId="165" fontId="1" fillId="0" borderId="0" xfId="0" applyNumberFormat="1" applyFont="1"/>
    <xf numFmtId="0" fontId="4" fillId="0" borderId="0" xfId="0" applyFont="1"/>
    <xf numFmtId="0" fontId="1" fillId="0" borderId="1" xfId="0" applyFont="1" applyBorder="1"/>
    <xf numFmtId="0" fontId="3" fillId="0" borderId="1" xfId="0" applyFont="1" applyBorder="1"/>
    <xf numFmtId="21" fontId="3" fillId="0" borderId="1" xfId="0" applyNumberFormat="1" applyFont="1" applyBorder="1"/>
    <xf numFmtId="0" fontId="1" fillId="2" borderId="2" xfId="0" applyFont="1" applyFill="1" applyBorder="1" applyAlignment="1">
      <alignment horizontal="center"/>
    </xf>
    <xf numFmtId="0" fontId="5" fillId="0" borderId="2" xfId="0" applyFont="1" applyBorder="1"/>
  </cellXfs>
  <cellStyles count="1">
    <cellStyle name="Normal" xfId="0" builtinId="0"/>
  </cellStyles>
  <dxfs count="36">
    <dxf>
      <fill>
        <patternFill patternType="solid">
          <fgColor rgb="FFFFC000"/>
          <bgColor rgb="FFFFC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C000"/>
          <bgColor rgb="FFFFC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C000"/>
          <bgColor rgb="FFFFC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C000"/>
          <bgColor rgb="FFFFC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C000"/>
          <bgColor rgb="FFFFC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C000"/>
          <bgColor rgb="FFFFC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C000"/>
          <bgColor rgb="FFFFC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C000"/>
          <bgColor rgb="FFFFC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C000"/>
          <bgColor rgb="FFFFC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C000"/>
          <bgColor rgb="FFFFC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C000"/>
          <bgColor rgb="FFFFC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C000"/>
          <bgColor rgb="FFFFC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C000"/>
          <bgColor rgb="FFFFC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C000"/>
          <bgColor rgb="FFFFC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C000"/>
          <bgColor rgb="FFFFC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C000"/>
          <bgColor rgb="FFFFC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C000"/>
          <bgColor rgb="FFFFC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C000"/>
          <bgColor rgb="FFFFC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C000"/>
          <bgColor rgb="FFFFC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C000"/>
          <bgColor rgb="FFFFC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C000"/>
          <bgColor rgb="FFFFC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C000"/>
          <bgColor rgb="FFFFC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C000"/>
          <bgColor rgb="FFFFC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C000"/>
          <bgColor rgb="FFFFC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C000"/>
          <bgColor rgb="FFFFC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C000"/>
          <bgColor rgb="FFFFC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C000"/>
          <bgColor rgb="FFFFC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C000"/>
          <bgColor rgb="FFFFC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C000"/>
          <bgColor rgb="FFFFC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C000"/>
          <bgColor rgb="FFFFC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C000"/>
          <bgColor rgb="FFFFC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C000"/>
          <bgColor rgb="FFFFC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C000"/>
          <bgColor rgb="FFFFC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C000"/>
          <bgColor rgb="FFFFC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C000"/>
          <bgColor rgb="FFFFC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C000"/>
          <bgColor rgb="FFFFC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457200</xdr:colOff>
      <xdr:row>5</xdr:row>
      <xdr:rowOff>38100</xdr:rowOff>
    </xdr:from>
    <xdr:ext cx="1809750" cy="3162300"/>
    <xdr:pic>
      <xdr:nvPicPr>
        <xdr:cNvPr id="2" name="image1.png" descr="CABI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opLeftCell="A21" workbookViewId="0">
      <selection activeCell="N28" sqref="N28"/>
    </sheetView>
  </sheetViews>
  <sheetFormatPr defaultColWidth="14.44140625" defaultRowHeight="15" customHeight="1" x14ac:dyDescent="0.3"/>
  <cols>
    <col min="1" max="1" width="3" customWidth="1"/>
    <col min="2" max="2" width="8.88671875" customWidth="1"/>
    <col min="3" max="3" width="7" customWidth="1"/>
    <col min="4" max="4" width="18.33203125" customWidth="1"/>
    <col min="5" max="5" width="7" customWidth="1"/>
    <col min="6" max="6" width="7.44140625" customWidth="1"/>
    <col min="7" max="7" width="17.44140625" customWidth="1"/>
    <col min="8" max="9" width="7" customWidth="1"/>
    <col min="10" max="10" width="16.88671875" customWidth="1"/>
    <col min="11" max="13" width="7" customWidth="1"/>
    <col min="14" max="26" width="8.88671875" customWidth="1"/>
  </cols>
  <sheetData>
    <row r="1" spans="1:8" ht="14.25" customHeight="1" x14ac:dyDescent="0.3">
      <c r="A1" s="1" t="s">
        <v>0</v>
      </c>
    </row>
    <row r="2" spans="1:8" ht="14.25" customHeight="1" x14ac:dyDescent="0.3"/>
    <row r="3" spans="1:8" ht="14.25" customHeight="1" x14ac:dyDescent="0.3">
      <c r="A3" s="2" t="s">
        <v>1</v>
      </c>
      <c r="D3" s="3">
        <v>43900</v>
      </c>
      <c r="F3" s="2" t="s">
        <v>2</v>
      </c>
      <c r="G3" s="5"/>
      <c r="H3" s="4"/>
    </row>
    <row r="4" spans="1:8" ht="14.25" customHeight="1" x14ac:dyDescent="0.3">
      <c r="A4" s="2" t="s">
        <v>3</v>
      </c>
      <c r="D4" s="5">
        <v>2</v>
      </c>
      <c r="F4" s="2" t="s">
        <v>4</v>
      </c>
      <c r="G4" s="5"/>
      <c r="H4" s="4"/>
    </row>
    <row r="5" spans="1:8" ht="14.25" customHeight="1" x14ac:dyDescent="0.3"/>
    <row r="6" spans="1:8" ht="14.25" customHeight="1" x14ac:dyDescent="0.3">
      <c r="A6" s="1" t="s">
        <v>5</v>
      </c>
      <c r="B6" s="1"/>
    </row>
    <row r="7" spans="1:8" ht="14.25" customHeight="1" x14ac:dyDescent="0.3">
      <c r="D7" s="2" t="s">
        <v>6</v>
      </c>
      <c r="H7" s="2" t="s">
        <v>7</v>
      </c>
    </row>
    <row r="8" spans="1:8" ht="14.25" customHeight="1" x14ac:dyDescent="0.3">
      <c r="A8" s="2" t="s">
        <v>8</v>
      </c>
      <c r="D8" s="5" t="s">
        <v>9</v>
      </c>
      <c r="H8" s="5">
        <v>90</v>
      </c>
    </row>
    <row r="9" spans="1:8" ht="14.25" customHeight="1" x14ac:dyDescent="0.3">
      <c r="A9" s="2" t="s">
        <v>10</v>
      </c>
      <c r="D9" s="5" t="s">
        <v>11</v>
      </c>
      <c r="H9" s="5">
        <v>98</v>
      </c>
    </row>
    <row r="10" spans="1:8" ht="14.25" customHeight="1" x14ac:dyDescent="0.3">
      <c r="A10" s="2" t="s">
        <v>12</v>
      </c>
      <c r="D10" s="5" t="s">
        <v>13</v>
      </c>
      <c r="H10" s="5">
        <v>175</v>
      </c>
    </row>
    <row r="11" spans="1:8" ht="14.25" customHeight="1" x14ac:dyDescent="0.3">
      <c r="A11" s="2" t="s">
        <v>14</v>
      </c>
      <c r="D11" s="5" t="s">
        <v>15</v>
      </c>
      <c r="H11" s="5">
        <v>82</v>
      </c>
    </row>
    <row r="12" spans="1:8" ht="14.25" customHeight="1" x14ac:dyDescent="0.3">
      <c r="A12" s="2" t="s">
        <v>16</v>
      </c>
      <c r="D12" s="5" t="s">
        <v>17</v>
      </c>
      <c r="H12" s="5">
        <v>71</v>
      </c>
    </row>
    <row r="13" spans="1:8" ht="14.25" customHeight="1" x14ac:dyDescent="0.3">
      <c r="A13" s="2" t="s">
        <v>18</v>
      </c>
      <c r="D13" s="5" t="s">
        <v>19</v>
      </c>
      <c r="H13" s="5">
        <v>82</v>
      </c>
    </row>
    <row r="14" spans="1:8" ht="14.25" customHeight="1" x14ac:dyDescent="0.3">
      <c r="A14" s="2" t="s">
        <v>20</v>
      </c>
      <c r="D14" s="5" t="s">
        <v>21</v>
      </c>
      <c r="H14" s="5">
        <v>67</v>
      </c>
    </row>
    <row r="15" spans="1:8" ht="14.25" customHeight="1" x14ac:dyDescent="0.3">
      <c r="A15" s="2" t="s">
        <v>22</v>
      </c>
      <c r="D15" s="5" t="s">
        <v>23</v>
      </c>
      <c r="H15" s="5">
        <v>81</v>
      </c>
    </row>
    <row r="16" spans="1:8" ht="14.25" customHeight="1" x14ac:dyDescent="0.3">
      <c r="A16" s="2" t="s">
        <v>24</v>
      </c>
      <c r="D16" s="5" t="s">
        <v>25</v>
      </c>
      <c r="H16" s="5">
        <v>84</v>
      </c>
    </row>
    <row r="17" spans="1:10" ht="14.25" customHeight="1" x14ac:dyDescent="0.3"/>
    <row r="18" spans="1:10" ht="14.25" customHeight="1" x14ac:dyDescent="0.3">
      <c r="A18" s="2" t="s">
        <v>26</v>
      </c>
      <c r="D18" s="5">
        <v>2714</v>
      </c>
    </row>
    <row r="19" spans="1:10" ht="14.25" customHeight="1" x14ac:dyDescent="0.3"/>
    <row r="20" spans="1:10" ht="14.25" customHeight="1" x14ac:dyDescent="0.3"/>
    <row r="21" spans="1:10" ht="14.25" customHeight="1" x14ac:dyDescent="0.3">
      <c r="A21" s="1" t="s">
        <v>27</v>
      </c>
    </row>
    <row r="22" spans="1:10" ht="14.25" customHeight="1" x14ac:dyDescent="0.3"/>
    <row r="23" spans="1:10" ht="14.25" customHeight="1" x14ac:dyDescent="0.3">
      <c r="A23" s="2" t="s">
        <v>28</v>
      </c>
      <c r="E23" s="2" t="s">
        <v>29</v>
      </c>
    </row>
    <row r="24" spans="1:10" ht="14.25" customHeight="1" x14ac:dyDescent="0.3"/>
    <row r="25" spans="1:10" ht="14.25" customHeight="1" x14ac:dyDescent="0.3">
      <c r="A25" s="2" t="s">
        <v>30</v>
      </c>
      <c r="B25" s="2" t="s">
        <v>31</v>
      </c>
      <c r="C25" s="2" t="s">
        <v>32</v>
      </c>
      <c r="D25" s="2" t="s">
        <v>33</v>
      </c>
      <c r="E25" s="2" t="s">
        <v>34</v>
      </c>
      <c r="F25" s="2" t="s">
        <v>35</v>
      </c>
      <c r="G25" s="2" t="s">
        <v>36</v>
      </c>
      <c r="H25" s="2" t="s">
        <v>37</v>
      </c>
      <c r="I25" s="2" t="s">
        <v>38</v>
      </c>
      <c r="J25" s="2" t="s">
        <v>39</v>
      </c>
    </row>
    <row r="26" spans="1:10" ht="14.25" customHeight="1" x14ac:dyDescent="0.3">
      <c r="B26" s="6" t="s">
        <v>40</v>
      </c>
      <c r="C26" s="6" t="s">
        <v>41</v>
      </c>
      <c r="D26" s="6" t="s">
        <v>42</v>
      </c>
      <c r="E26" s="6" t="s">
        <v>43</v>
      </c>
      <c r="F26" s="6" t="s">
        <v>44</v>
      </c>
      <c r="G26" s="6" t="s">
        <v>45</v>
      </c>
      <c r="H26" s="6" t="s">
        <v>45</v>
      </c>
      <c r="I26" s="6" t="s">
        <v>46</v>
      </c>
      <c r="J26" s="6" t="s">
        <v>47</v>
      </c>
    </row>
    <row r="27" spans="1:10" ht="14.25" customHeight="1" x14ac:dyDescent="0.3">
      <c r="I27" s="7"/>
    </row>
    <row r="28" spans="1:10" ht="14.25" customHeight="1" x14ac:dyDescent="0.3">
      <c r="A28" s="2">
        <v>1</v>
      </c>
      <c r="B28" s="8">
        <f>averaging!I10</f>
        <v>1.540509259259259E-2</v>
      </c>
      <c r="C28" s="5" t="s">
        <v>48</v>
      </c>
      <c r="D28" s="9">
        <f>averaging!B10</f>
        <v>16530</v>
      </c>
      <c r="E28" s="10">
        <f>averaging!C10</f>
        <v>241</v>
      </c>
      <c r="F28" s="10">
        <f>averaging!H10</f>
        <v>1.5</v>
      </c>
      <c r="G28" s="10">
        <f>averaging!E10</f>
        <v>679</v>
      </c>
      <c r="H28" s="10">
        <f>averaging!F10</f>
        <v>707</v>
      </c>
      <c r="I28" s="10">
        <f>averaging!G10</f>
        <v>505.33333333333331</v>
      </c>
      <c r="J28" s="10">
        <f>averaging!D10</f>
        <v>-8.0499999999999989</v>
      </c>
    </row>
    <row r="29" spans="1:10" ht="14.25" customHeight="1" x14ac:dyDescent="0.3">
      <c r="A29" s="2">
        <v>2</v>
      </c>
      <c r="B29" s="8">
        <f>averaging!I18</f>
        <v>1.7390046296296296E-2</v>
      </c>
      <c r="C29" s="5" t="s">
        <v>48</v>
      </c>
      <c r="D29" s="9">
        <f>averaging!B18</f>
        <v>16530</v>
      </c>
      <c r="E29" s="10">
        <f>averaging!C18</f>
        <v>221.16666666666666</v>
      </c>
      <c r="F29" s="10">
        <f>averaging!H18</f>
        <v>2</v>
      </c>
      <c r="G29" s="10">
        <f>averaging!E18</f>
        <v>572.5</v>
      </c>
      <c r="H29" s="10">
        <f>averaging!F18</f>
        <v>599.16666666666663</v>
      </c>
      <c r="I29" s="10">
        <f>averaging!G18</f>
        <v>565.33333333333337</v>
      </c>
      <c r="J29" s="10">
        <f>averaging!D18</f>
        <v>-9.6833333333333336</v>
      </c>
    </row>
    <row r="30" spans="1:10" ht="14.25" customHeight="1" x14ac:dyDescent="0.3">
      <c r="A30" s="2">
        <v>3</v>
      </c>
      <c r="B30" s="8">
        <f>averaging!I26</f>
        <v>1.8805941358024689E-2</v>
      </c>
      <c r="C30" s="5" t="s">
        <v>48</v>
      </c>
      <c r="D30" s="9">
        <f>averaging!B26</f>
        <v>16483.333333333332</v>
      </c>
      <c r="E30" s="10">
        <f>averaging!C26</f>
        <v>186</v>
      </c>
      <c r="F30" s="10">
        <f>averaging!H26</f>
        <v>3.4</v>
      </c>
      <c r="G30" s="10">
        <f>averaging!E26</f>
        <v>475.16666666666669</v>
      </c>
      <c r="H30" s="10">
        <f>averaging!F26</f>
        <v>497.5</v>
      </c>
      <c r="I30" s="10">
        <f>averaging!G26</f>
        <v>594.16666666666663</v>
      </c>
      <c r="J30" s="10">
        <f>averaging!D26</f>
        <v>-12.15</v>
      </c>
    </row>
    <row r="31" spans="1:10" ht="14.25" customHeight="1" x14ac:dyDescent="0.3">
      <c r="A31" s="2">
        <v>4</v>
      </c>
      <c r="B31" s="8">
        <f>averaging!I34</f>
        <v>2.0657793209876544E-2</v>
      </c>
      <c r="C31" s="5" t="s">
        <v>48</v>
      </c>
      <c r="D31" s="9">
        <f>averaging!B34</f>
        <v>16060</v>
      </c>
      <c r="E31" s="10">
        <f>averaging!C34</f>
        <v>161</v>
      </c>
      <c r="F31" s="10">
        <f>averaging!H34</f>
        <v>4.8999999999999995</v>
      </c>
      <c r="G31" s="10">
        <f>averaging!E34</f>
        <v>414.16666666666669</v>
      </c>
      <c r="H31" s="10">
        <f>averaging!F34</f>
        <v>441.16666666666669</v>
      </c>
      <c r="I31" s="10">
        <f>averaging!G34</f>
        <v>626.66666666666663</v>
      </c>
      <c r="J31" s="10">
        <f>averaging!D34</f>
        <v>-13.299999999999999</v>
      </c>
    </row>
    <row r="32" spans="1:10" ht="14.25" customHeight="1" x14ac:dyDescent="0.3">
      <c r="A32" s="2">
        <v>5</v>
      </c>
      <c r="B32" s="8">
        <f>averaging!I42</f>
        <v>2.1983024691358027E-2</v>
      </c>
      <c r="C32" s="5" t="s">
        <v>48</v>
      </c>
      <c r="D32" s="9">
        <f>averaging!B42</f>
        <v>16001.666666666666</v>
      </c>
      <c r="E32" s="10">
        <f>averaging!C42</f>
        <v>131.5</v>
      </c>
      <c r="F32" s="10">
        <f>averaging!H42</f>
        <v>7.8999999999999995</v>
      </c>
      <c r="G32" s="10">
        <f>averaging!E42</f>
        <v>364.83333333333331</v>
      </c>
      <c r="H32" s="10">
        <f>averaging!F42</f>
        <v>384.33333333333331</v>
      </c>
      <c r="I32" s="10">
        <f>averaging!G42</f>
        <v>647.5</v>
      </c>
      <c r="J32" s="10">
        <f>averaging!D42</f>
        <v>-15.5</v>
      </c>
    </row>
    <row r="33" spans="1:10" ht="14.25" customHeight="1" x14ac:dyDescent="0.3">
      <c r="A33" s="2">
        <v>6</v>
      </c>
      <c r="B33" s="8">
        <f>averaging!I50</f>
        <v>2.3094135802469135E-2</v>
      </c>
      <c r="C33" s="5" t="s">
        <v>48</v>
      </c>
      <c r="D33" s="9">
        <f>averaging!B50</f>
        <v>16010</v>
      </c>
      <c r="E33" s="10">
        <f>averaging!C50</f>
        <v>111</v>
      </c>
      <c r="F33" s="10">
        <f>averaging!H50</f>
        <v>11.350000000000001</v>
      </c>
      <c r="G33" s="10">
        <f>averaging!E50</f>
        <v>379</v>
      </c>
      <c r="H33" s="10">
        <f>averaging!F50</f>
        <v>404.33333333333331</v>
      </c>
      <c r="I33" s="10">
        <f>averaging!G50</f>
        <v>666.5</v>
      </c>
      <c r="J33" s="10">
        <f>averaging!D50</f>
        <v>-16.5</v>
      </c>
    </row>
    <row r="34" spans="1:10" ht="14.25" customHeight="1" x14ac:dyDescent="0.3">
      <c r="A34" s="2">
        <v>7</v>
      </c>
      <c r="B34" s="8">
        <f>averaging!I58</f>
        <v>0</v>
      </c>
      <c r="C34" s="5" t="s">
        <v>48</v>
      </c>
      <c r="D34" s="5"/>
      <c r="E34" s="5"/>
      <c r="F34" s="5"/>
      <c r="G34" s="5"/>
      <c r="H34" s="5"/>
      <c r="I34" s="5"/>
      <c r="J34" s="5"/>
    </row>
    <row r="35" spans="1:10" ht="14.25" customHeight="1" x14ac:dyDescent="0.3">
      <c r="C35" s="2" t="s">
        <v>49</v>
      </c>
    </row>
    <row r="36" spans="1:10" ht="14.25" customHeight="1" x14ac:dyDescent="0.3"/>
    <row r="37" spans="1:10" ht="14.25" customHeight="1" x14ac:dyDescent="0.3">
      <c r="A37" s="1" t="s">
        <v>50</v>
      </c>
    </row>
    <row r="38" spans="1:10" ht="14.25" customHeight="1" x14ac:dyDescent="0.3"/>
    <row r="39" spans="1:10" ht="14.25" customHeight="1" x14ac:dyDescent="0.3">
      <c r="A39" s="2" t="s">
        <v>51</v>
      </c>
      <c r="E39" s="5"/>
    </row>
    <row r="40" spans="1:10" ht="14.25" customHeight="1" x14ac:dyDescent="0.3"/>
    <row r="41" spans="1:10" ht="14.25" customHeight="1" x14ac:dyDescent="0.3">
      <c r="A41" s="2" t="s">
        <v>52</v>
      </c>
      <c r="B41" s="2" t="s">
        <v>31</v>
      </c>
      <c r="C41" s="2" t="s">
        <v>32</v>
      </c>
      <c r="D41" s="2" t="s">
        <v>33</v>
      </c>
      <c r="E41" s="2" t="s">
        <v>34</v>
      </c>
      <c r="F41" s="2" t="s">
        <v>35</v>
      </c>
      <c r="G41" s="2" t="s">
        <v>36</v>
      </c>
      <c r="H41" s="2" t="s">
        <v>37</v>
      </c>
      <c r="I41" s="2" t="s">
        <v>38</v>
      </c>
      <c r="J41" s="2" t="s">
        <v>39</v>
      </c>
    </row>
    <row r="42" spans="1:10" ht="14.25" customHeight="1" x14ac:dyDescent="0.3">
      <c r="B42" s="6" t="s">
        <v>53</v>
      </c>
      <c r="C42" s="6" t="s">
        <v>41</v>
      </c>
      <c r="D42" s="6" t="s">
        <v>42</v>
      </c>
      <c r="E42" s="6" t="s">
        <v>43</v>
      </c>
      <c r="F42" s="6" t="s">
        <v>44</v>
      </c>
      <c r="G42" s="6" t="s">
        <v>45</v>
      </c>
      <c r="H42" s="6" t="s">
        <v>45</v>
      </c>
      <c r="I42" s="6" t="s">
        <v>46</v>
      </c>
      <c r="J42" s="6" t="s">
        <v>47</v>
      </c>
    </row>
    <row r="43" spans="1:10" ht="14.25" customHeight="1" x14ac:dyDescent="0.3"/>
    <row r="44" spans="1:10" ht="14.25" customHeight="1" x14ac:dyDescent="0.3">
      <c r="A44" s="2">
        <v>1</v>
      </c>
      <c r="B44" s="4"/>
      <c r="C44" s="5" t="s">
        <v>48</v>
      </c>
      <c r="D44" s="4"/>
      <c r="E44" s="4"/>
      <c r="F44" s="4"/>
      <c r="G44" s="4"/>
      <c r="H44" s="4"/>
      <c r="I44" s="5"/>
      <c r="J44" s="5"/>
    </row>
    <row r="45" spans="1:10" ht="14.25" customHeight="1" x14ac:dyDescent="0.3">
      <c r="A45" s="2">
        <v>2</v>
      </c>
      <c r="B45" s="4"/>
      <c r="C45" s="5" t="s">
        <v>48</v>
      </c>
      <c r="D45" s="5"/>
      <c r="E45" s="5"/>
      <c r="F45" s="5"/>
      <c r="G45" s="5"/>
      <c r="H45" s="5"/>
      <c r="I45" s="5"/>
      <c r="J45" s="5"/>
    </row>
    <row r="46" spans="1:10" ht="14.25" customHeight="1" x14ac:dyDescent="0.3">
      <c r="A46" s="2">
        <v>3</v>
      </c>
      <c r="B46" s="4"/>
      <c r="C46" s="5" t="s">
        <v>48</v>
      </c>
      <c r="D46" s="5"/>
      <c r="E46" s="5"/>
      <c r="F46" s="5"/>
      <c r="G46" s="5"/>
      <c r="H46" s="5"/>
      <c r="I46" s="5"/>
      <c r="J46" s="5"/>
    </row>
    <row r="47" spans="1:10" ht="14.25" customHeight="1" x14ac:dyDescent="0.3">
      <c r="A47" s="2">
        <v>4</v>
      </c>
      <c r="B47" s="4"/>
      <c r="C47" s="5" t="s">
        <v>48</v>
      </c>
      <c r="D47" s="5"/>
      <c r="E47" s="5"/>
      <c r="F47" s="5"/>
      <c r="G47" s="5"/>
      <c r="H47" s="5"/>
      <c r="I47" s="5"/>
      <c r="J47" s="5"/>
    </row>
    <row r="48" spans="1:10" ht="14.25" customHeight="1" x14ac:dyDescent="0.3">
      <c r="A48" s="2">
        <v>5</v>
      </c>
      <c r="B48" s="4"/>
      <c r="C48" s="5" t="s">
        <v>48</v>
      </c>
      <c r="D48" s="5"/>
      <c r="E48" s="5"/>
      <c r="F48" s="5"/>
      <c r="G48" s="5"/>
      <c r="H48" s="5"/>
      <c r="I48" s="5"/>
      <c r="J48" s="5"/>
    </row>
    <row r="49" spans="1:13" ht="14.25" customHeight="1" x14ac:dyDescent="0.3">
      <c r="A49" s="2">
        <v>6</v>
      </c>
      <c r="B49" s="4"/>
      <c r="C49" s="5" t="s">
        <v>48</v>
      </c>
      <c r="D49" s="5"/>
      <c r="E49" s="4"/>
      <c r="F49" s="5"/>
      <c r="G49" s="5"/>
      <c r="H49" s="5"/>
      <c r="I49" s="5"/>
      <c r="J49" s="5"/>
    </row>
    <row r="50" spans="1:13" ht="14.25" customHeight="1" x14ac:dyDescent="0.3">
      <c r="A50" s="2">
        <v>7</v>
      </c>
      <c r="B50" s="4"/>
      <c r="C50" s="5" t="s">
        <v>48</v>
      </c>
      <c r="D50" s="5"/>
      <c r="E50" s="5"/>
      <c r="F50" s="5"/>
      <c r="G50" s="5"/>
      <c r="H50" s="5"/>
      <c r="I50" s="5"/>
      <c r="J50" s="5"/>
    </row>
    <row r="51" spans="1:13" ht="14.25" customHeight="1" x14ac:dyDescent="0.3">
      <c r="C51" s="2" t="s">
        <v>49</v>
      </c>
    </row>
    <row r="52" spans="1:13" ht="14.25" customHeight="1" x14ac:dyDescent="0.3">
      <c r="A52" s="1" t="s">
        <v>54</v>
      </c>
    </row>
    <row r="53" spans="1:13" ht="14.25" customHeight="1" x14ac:dyDescent="0.3"/>
    <row r="54" spans="1:13" ht="14.25" customHeight="1" x14ac:dyDescent="0.3">
      <c r="A54" s="2" t="s">
        <v>28</v>
      </c>
      <c r="E54" s="2" t="s">
        <v>29</v>
      </c>
    </row>
    <row r="55" spans="1:13" ht="14.25" customHeight="1" x14ac:dyDescent="0.3"/>
    <row r="56" spans="1:13" ht="14.25" customHeight="1" x14ac:dyDescent="0.3">
      <c r="A56" s="2" t="s">
        <v>52</v>
      </c>
      <c r="B56" s="2" t="s">
        <v>31</v>
      </c>
      <c r="C56" s="2" t="s">
        <v>32</v>
      </c>
      <c r="D56" s="2" t="s">
        <v>33</v>
      </c>
      <c r="E56" s="2" t="s">
        <v>34</v>
      </c>
      <c r="F56" s="2" t="s">
        <v>35</v>
      </c>
      <c r="G56" s="2" t="s">
        <v>55</v>
      </c>
      <c r="H56" s="2" t="s">
        <v>56</v>
      </c>
      <c r="I56" s="2" t="s">
        <v>57</v>
      </c>
      <c r="J56" s="2" t="s">
        <v>36</v>
      </c>
      <c r="K56" s="2" t="s">
        <v>37</v>
      </c>
      <c r="L56" s="2" t="s">
        <v>38</v>
      </c>
      <c r="M56" s="2" t="s">
        <v>39</v>
      </c>
    </row>
    <row r="57" spans="1:13" ht="14.25" customHeight="1" x14ac:dyDescent="0.3">
      <c r="B57" s="6" t="s">
        <v>53</v>
      </c>
      <c r="C57" s="6" t="s">
        <v>41</v>
      </c>
      <c r="D57" s="6" t="s">
        <v>42</v>
      </c>
      <c r="E57" s="6" t="s">
        <v>43</v>
      </c>
      <c r="F57" s="6" t="s">
        <v>44</v>
      </c>
      <c r="G57" s="6" t="s">
        <v>44</v>
      </c>
      <c r="H57" s="6" t="s">
        <v>44</v>
      </c>
      <c r="I57" s="6" t="s">
        <v>58</v>
      </c>
      <c r="J57" s="6" t="s">
        <v>45</v>
      </c>
      <c r="K57" s="6" t="s">
        <v>45</v>
      </c>
      <c r="L57" s="6" t="s">
        <v>46</v>
      </c>
      <c r="M57" s="6" t="s">
        <v>47</v>
      </c>
    </row>
    <row r="58" spans="1:13" ht="14.25" customHeight="1" x14ac:dyDescent="0.3"/>
    <row r="59" spans="1:13" ht="14.25" customHeight="1" x14ac:dyDescent="0.3">
      <c r="A59" s="2">
        <v>1</v>
      </c>
      <c r="B59" s="8">
        <f>averaging!V10</f>
        <v>2.5212191358024688E-2</v>
      </c>
      <c r="C59" s="5" t="s">
        <v>48</v>
      </c>
      <c r="D59" s="9">
        <f>averaging!N10</f>
        <v>15960</v>
      </c>
      <c r="E59" s="10">
        <f>averaging!M10</f>
        <v>162.83333333333334</v>
      </c>
      <c r="F59" s="10">
        <f>averaging!L10</f>
        <v>4.6500000000000004</v>
      </c>
      <c r="G59" s="10">
        <f>averaging!U10</f>
        <v>-0.8</v>
      </c>
      <c r="H59" s="10">
        <f>averaging!R10</f>
        <v>1.6</v>
      </c>
      <c r="I59" s="10">
        <f>averaging!P10</f>
        <v>-1</v>
      </c>
      <c r="J59" s="10">
        <f>averaging!S10</f>
        <v>406</v>
      </c>
      <c r="K59" s="10">
        <f>averaging!T10</f>
        <v>429.5</v>
      </c>
      <c r="L59" s="5">
        <f>averaging!Q10</f>
        <v>715.5</v>
      </c>
      <c r="M59" s="10">
        <f>averaging!O10</f>
        <v>-13.8</v>
      </c>
    </row>
    <row r="60" spans="1:13" ht="14.25" customHeight="1" x14ac:dyDescent="0.3">
      <c r="A60" s="2">
        <v>2</v>
      </c>
      <c r="B60" s="8">
        <f>averaging!V18</f>
        <v>2.5968364197530864E-2</v>
      </c>
      <c r="C60" s="5" t="s">
        <v>48</v>
      </c>
      <c r="D60" s="9">
        <f>averaging!N18</f>
        <v>16300</v>
      </c>
      <c r="E60" s="10">
        <f>averaging!M18</f>
        <v>150.16666666666666</v>
      </c>
      <c r="F60" s="10">
        <f>averaging!L18</f>
        <v>5.6000000000000005</v>
      </c>
      <c r="G60" s="10">
        <f>averaging!U18</f>
        <v>-1.4</v>
      </c>
      <c r="H60" s="10">
        <f>averaging!R18</f>
        <v>1.5</v>
      </c>
      <c r="I60" s="10">
        <f>averaging!P18</f>
        <v>-26</v>
      </c>
      <c r="J60" s="10">
        <f>averaging!S18</f>
        <v>400</v>
      </c>
      <c r="K60" s="10">
        <f>averaging!T18</f>
        <v>422.5</v>
      </c>
      <c r="L60" s="5">
        <f>averaging!Q18</f>
        <v>730.5</v>
      </c>
      <c r="M60" s="10">
        <f>averaging!O18</f>
        <v>-15</v>
      </c>
    </row>
    <row r="61" spans="1:13" ht="14.25" customHeight="1" x14ac:dyDescent="0.3">
      <c r="A61" s="2">
        <v>3</v>
      </c>
      <c r="B61" s="8">
        <f>averaging!V26</f>
        <v>2.6695601851851852E-2</v>
      </c>
      <c r="C61" s="5" t="s">
        <v>48</v>
      </c>
      <c r="D61" s="9">
        <f>averaging!N26</f>
        <v>16571.666666666668</v>
      </c>
      <c r="E61" s="10">
        <f>averaging!M26</f>
        <v>139.33333333333334</v>
      </c>
      <c r="F61" s="10">
        <f>averaging!L26</f>
        <v>6.7</v>
      </c>
      <c r="G61" s="10">
        <f>averaging!U26</f>
        <v>-1.9</v>
      </c>
      <c r="H61" s="10">
        <f>averaging!R26</f>
        <v>1.5</v>
      </c>
      <c r="I61" s="10">
        <f>averaging!P26</f>
        <v>-35.5</v>
      </c>
      <c r="J61" s="10">
        <f>averaging!S26</f>
        <v>395</v>
      </c>
      <c r="K61" s="10">
        <f>averaging!T26</f>
        <v>417.5</v>
      </c>
      <c r="L61" s="5">
        <f>averaging!Q26</f>
        <v>743.5</v>
      </c>
      <c r="M61" s="10">
        <f>averaging!O26</f>
        <v>-16</v>
      </c>
    </row>
    <row r="62" spans="1:13" ht="14.25" customHeight="1" x14ac:dyDescent="0.3">
      <c r="A62" s="2">
        <v>4</v>
      </c>
      <c r="B62" s="8">
        <f>averaging!V34</f>
        <v>2.7480709876543215E-2</v>
      </c>
      <c r="C62" s="5" t="s">
        <v>48</v>
      </c>
      <c r="D62" s="9">
        <f>averaging!N34</f>
        <v>16855</v>
      </c>
      <c r="E62" s="10">
        <f>averaging!M34</f>
        <v>133</v>
      </c>
      <c r="F62" s="10">
        <f>averaging!L34</f>
        <v>7.5666666666666664</v>
      </c>
      <c r="G62" s="10">
        <f>averaging!U34</f>
        <v>-2.4</v>
      </c>
      <c r="H62" s="10">
        <f>averaging!R34</f>
        <v>1.5</v>
      </c>
      <c r="I62" s="10">
        <f>averaging!P34</f>
        <v>-48</v>
      </c>
      <c r="J62" s="10">
        <f>averaging!S34</f>
        <v>390.5</v>
      </c>
      <c r="K62" s="10">
        <f>averaging!T34</f>
        <v>413</v>
      </c>
      <c r="L62" s="5">
        <f>averaging!Q34</f>
        <v>758.5</v>
      </c>
      <c r="M62" s="10">
        <f>averaging!O34</f>
        <v>-16.899999999999999</v>
      </c>
    </row>
    <row r="63" spans="1:13" ht="14.25" customHeight="1" x14ac:dyDescent="0.3">
      <c r="A63" s="2">
        <v>5</v>
      </c>
      <c r="B63" s="8">
        <f>averaging!V42</f>
        <v>2.8593750000000001E-2</v>
      </c>
      <c r="C63" s="5" t="s">
        <v>48</v>
      </c>
      <c r="D63" s="9">
        <f>averaging!N42</f>
        <v>16025</v>
      </c>
      <c r="E63" s="10">
        <f>averaging!M42</f>
        <v>173</v>
      </c>
      <c r="F63" s="10">
        <f>averaging!L42</f>
        <v>4</v>
      </c>
      <c r="G63" s="10">
        <f>averaging!U42</f>
        <v>-0.4</v>
      </c>
      <c r="H63" s="10">
        <f>averaging!R42</f>
        <v>1.5</v>
      </c>
      <c r="I63" s="10">
        <f>averaging!P42</f>
        <v>20</v>
      </c>
      <c r="J63" s="10">
        <f>averaging!S42</f>
        <v>407</v>
      </c>
      <c r="K63" s="10">
        <f>averaging!T42</f>
        <v>429</v>
      </c>
      <c r="L63" s="5">
        <f>averaging!Q42</f>
        <v>782</v>
      </c>
      <c r="M63" s="10">
        <f>averaging!O42</f>
        <v>-13.3</v>
      </c>
    </row>
    <row r="64" spans="1:13" ht="14.25" customHeight="1" x14ac:dyDescent="0.3">
      <c r="A64" s="2">
        <v>6</v>
      </c>
      <c r="B64" s="8">
        <f>averaging!V50</f>
        <v>2.9868827160493827E-2</v>
      </c>
      <c r="C64" s="5" t="s">
        <v>48</v>
      </c>
      <c r="D64" s="9">
        <f>averaging!N50</f>
        <v>15256.666666666666</v>
      </c>
      <c r="E64" s="10">
        <f>averaging!M50</f>
        <v>181.5</v>
      </c>
      <c r="F64" s="10">
        <f>averaging!L50</f>
        <v>3.4</v>
      </c>
      <c r="G64" s="10">
        <f>averaging!U50</f>
        <v>-0.1</v>
      </c>
      <c r="H64" s="10">
        <f>averaging!R50</f>
        <v>1.5</v>
      </c>
      <c r="I64" s="10">
        <f>averaging!P50</f>
        <v>31</v>
      </c>
      <c r="J64" s="10">
        <f>averaging!S50</f>
        <v>416</v>
      </c>
      <c r="K64" s="10">
        <f>averaging!T50</f>
        <v>439</v>
      </c>
      <c r="L64" s="5">
        <f>averaging!Q50</f>
        <v>809</v>
      </c>
      <c r="M64" s="10">
        <f>averaging!O50</f>
        <v>-11</v>
      </c>
    </row>
    <row r="65" spans="1:13" ht="14.25" customHeight="1" x14ac:dyDescent="0.3">
      <c r="A65" s="2">
        <v>7</v>
      </c>
      <c r="B65" s="8">
        <f>averaging!V58</f>
        <v>3.0721450617283947E-2</v>
      </c>
      <c r="C65" s="5" t="s">
        <v>48</v>
      </c>
      <c r="D65" s="9">
        <f>averaging!N58</f>
        <v>14488.333333333334</v>
      </c>
      <c r="E65" s="10">
        <f>averaging!M58</f>
        <v>191.33333333333334</v>
      </c>
      <c r="F65" s="10">
        <f>averaging!L58</f>
        <v>2.8666666666666667</v>
      </c>
      <c r="G65" s="10">
        <f>averaging!U58</f>
        <v>0.2</v>
      </c>
      <c r="H65" s="10">
        <f>averaging!R58</f>
        <v>1.5</v>
      </c>
      <c r="I65" s="10">
        <f>averaging!P58</f>
        <v>80.5</v>
      </c>
      <c r="J65" s="10">
        <f>averaging!S58</f>
        <v>423.5</v>
      </c>
      <c r="K65" s="10">
        <f>averaging!T58</f>
        <v>450</v>
      </c>
      <c r="L65" s="5">
        <f>averaging!Q58</f>
        <v>824</v>
      </c>
      <c r="M65" s="10">
        <f>averaging!O58</f>
        <v>-9.15</v>
      </c>
    </row>
    <row r="66" spans="1:13" ht="14.25" customHeight="1" x14ac:dyDescent="0.3">
      <c r="C66" s="2" t="s">
        <v>49</v>
      </c>
    </row>
    <row r="67" spans="1:13" ht="14.25" customHeight="1" x14ac:dyDescent="0.3"/>
    <row r="68" spans="1:13" ht="14.25" customHeight="1" x14ac:dyDescent="0.3">
      <c r="A68" s="1" t="s">
        <v>59</v>
      </c>
    </row>
    <row r="69" spans="1:13" ht="14.25" customHeight="1" x14ac:dyDescent="0.3"/>
    <row r="70" spans="1:13" ht="14.25" customHeight="1" x14ac:dyDescent="0.3">
      <c r="A70" s="2" t="s">
        <v>60</v>
      </c>
      <c r="C70" s="5" t="s">
        <v>61</v>
      </c>
    </row>
    <row r="71" spans="1:13" ht="14.25" customHeight="1" x14ac:dyDescent="0.3">
      <c r="A71" s="2" t="s">
        <v>62</v>
      </c>
      <c r="C71" s="5" t="s">
        <v>63</v>
      </c>
      <c r="E71" s="2" t="s">
        <v>64</v>
      </c>
      <c r="H71" s="5" t="s">
        <v>65</v>
      </c>
    </row>
    <row r="72" spans="1:13" ht="14.25" customHeight="1" x14ac:dyDescent="0.3"/>
    <row r="73" spans="1:13" ht="14.25" customHeight="1" x14ac:dyDescent="0.3">
      <c r="A73" s="2" t="s">
        <v>52</v>
      </c>
      <c r="B73" s="2" t="s">
        <v>31</v>
      </c>
      <c r="C73" s="2" t="s">
        <v>32</v>
      </c>
      <c r="D73" s="2" t="s">
        <v>33</v>
      </c>
      <c r="E73" s="2" t="s">
        <v>34</v>
      </c>
      <c r="F73" s="2" t="s">
        <v>35</v>
      </c>
      <c r="G73" s="2" t="s">
        <v>55</v>
      </c>
      <c r="H73" s="2" t="s">
        <v>56</v>
      </c>
      <c r="I73" s="2" t="s">
        <v>57</v>
      </c>
      <c r="J73" s="2" t="s">
        <v>36</v>
      </c>
      <c r="K73" s="2" t="s">
        <v>37</v>
      </c>
      <c r="L73" s="2" t="s">
        <v>38</v>
      </c>
      <c r="M73" s="2" t="s">
        <v>39</v>
      </c>
    </row>
    <row r="74" spans="1:13" ht="14.25" customHeight="1" x14ac:dyDescent="0.3">
      <c r="B74" s="6" t="s">
        <v>53</v>
      </c>
      <c r="C74" s="6" t="s">
        <v>41</v>
      </c>
      <c r="D74" s="6" t="s">
        <v>42</v>
      </c>
      <c r="E74" s="6" t="s">
        <v>43</v>
      </c>
      <c r="F74" s="6" t="s">
        <v>44</v>
      </c>
      <c r="G74" s="6" t="s">
        <v>44</v>
      </c>
      <c r="H74" s="6" t="s">
        <v>44</v>
      </c>
      <c r="I74" s="6" t="s">
        <v>58</v>
      </c>
      <c r="J74" s="6" t="s">
        <v>45</v>
      </c>
      <c r="K74" s="6" t="s">
        <v>45</v>
      </c>
      <c r="L74" s="6" t="s">
        <v>46</v>
      </c>
      <c r="M74" s="6" t="s">
        <v>47</v>
      </c>
    </row>
    <row r="75" spans="1:13" ht="14.25" customHeight="1" x14ac:dyDescent="0.3">
      <c r="A75" s="2">
        <v>1</v>
      </c>
      <c r="B75" s="8">
        <f>averaging!V66</f>
        <v>3.176311728395062E-2</v>
      </c>
      <c r="C75" s="5" t="s">
        <v>48</v>
      </c>
      <c r="D75" s="9">
        <f>averaging!N66</f>
        <v>15090</v>
      </c>
      <c r="E75" s="10">
        <f>averaging!M66</f>
        <v>163</v>
      </c>
      <c r="F75" s="10">
        <f>averaging!L66</f>
        <v>4.4833333333333334</v>
      </c>
      <c r="G75" s="10">
        <f>averaging!U66</f>
        <v>-0.7</v>
      </c>
      <c r="H75" s="10">
        <f>averaging!R66</f>
        <v>1.5</v>
      </c>
      <c r="I75" s="9">
        <f>averaging!P66</f>
        <v>-1</v>
      </c>
      <c r="J75" s="10">
        <f>averaging!S66</f>
        <v>416</v>
      </c>
      <c r="K75" s="10">
        <f>averaging!T66</f>
        <v>440</v>
      </c>
      <c r="L75" s="10">
        <f>averaging!Q66</f>
        <v>845.5</v>
      </c>
      <c r="M75" s="10">
        <f>averaging!O66</f>
        <v>-12.3</v>
      </c>
    </row>
    <row r="76" spans="1:13" ht="14.25" customHeight="1" x14ac:dyDescent="0.3">
      <c r="A76" s="2">
        <v>2</v>
      </c>
      <c r="B76" s="8">
        <f>averaging!V74</f>
        <v>3.2710648148148148E-2</v>
      </c>
      <c r="C76" s="5" t="s">
        <v>48</v>
      </c>
      <c r="D76" s="9">
        <f>averaging!N74</f>
        <v>15142</v>
      </c>
      <c r="E76" s="10">
        <f>averaging!M74</f>
        <v>163</v>
      </c>
      <c r="F76" s="10">
        <f>averaging!L74</f>
        <v>4.54</v>
      </c>
      <c r="G76" s="10">
        <f>averaging!U74</f>
        <v>-1.2</v>
      </c>
      <c r="H76" s="10">
        <f>averaging!R74</f>
        <v>1.5</v>
      </c>
      <c r="I76" s="9">
        <f>averaging!P74</f>
        <v>-24</v>
      </c>
      <c r="J76" s="10">
        <f>averaging!S74</f>
        <v>415</v>
      </c>
      <c r="K76" s="10">
        <f>averaging!T74</f>
        <v>439</v>
      </c>
      <c r="L76" s="10">
        <f>averaging!Q74</f>
        <v>867</v>
      </c>
      <c r="M76" s="10">
        <f>averaging!O74</f>
        <v>-12.3</v>
      </c>
    </row>
    <row r="77" spans="1:13" ht="14.25" customHeight="1" x14ac:dyDescent="0.3">
      <c r="C77" s="2" t="s">
        <v>49</v>
      </c>
    </row>
    <row r="78" spans="1:13" ht="14.25" customHeight="1" x14ac:dyDescent="0.3"/>
    <row r="79" spans="1:13" ht="14.25" customHeight="1" x14ac:dyDescent="0.3">
      <c r="A79" s="1" t="s">
        <v>66</v>
      </c>
    </row>
    <row r="80" spans="1:13" ht="14.25" customHeight="1" x14ac:dyDescent="0.3"/>
    <row r="81" spans="1:10" ht="14.25" customHeight="1" x14ac:dyDescent="0.3">
      <c r="D81" s="2" t="s">
        <v>67</v>
      </c>
      <c r="G81" s="2" t="s">
        <v>67</v>
      </c>
      <c r="J81" s="2" t="s">
        <v>67</v>
      </c>
    </row>
    <row r="82" spans="1:10" ht="14.25" customHeight="1" x14ac:dyDescent="0.3">
      <c r="D82" s="2" t="s">
        <v>53</v>
      </c>
      <c r="G82" s="2" t="s">
        <v>53</v>
      </c>
      <c r="J82" s="2" t="s">
        <v>53</v>
      </c>
    </row>
    <row r="83" spans="1:10" ht="14.25" customHeight="1" x14ac:dyDescent="0.3">
      <c r="A83" s="2" t="s">
        <v>68</v>
      </c>
      <c r="D83" s="8">
        <v>3.3518518518518517E-2</v>
      </c>
      <c r="E83" s="2" t="s">
        <v>69</v>
      </c>
      <c r="G83" s="8">
        <v>3.8263888888888889E-2</v>
      </c>
      <c r="H83" s="2" t="s">
        <v>70</v>
      </c>
      <c r="J83" s="8">
        <v>3.7141203703703704E-2</v>
      </c>
    </row>
    <row r="84" spans="1:10" ht="14.25" customHeight="1" x14ac:dyDescent="0.3">
      <c r="A84" s="2" t="s">
        <v>71</v>
      </c>
      <c r="D84" s="8">
        <v>3.5949074074074071E-2</v>
      </c>
      <c r="E84" s="2" t="s">
        <v>72</v>
      </c>
      <c r="G84" s="8">
        <v>3.8993055555555559E-2</v>
      </c>
      <c r="H84" s="2" t="s">
        <v>73</v>
      </c>
      <c r="J84" s="8">
        <v>3.9699074074074074E-2</v>
      </c>
    </row>
    <row r="85" spans="1:10" ht="14.25" customHeight="1" x14ac:dyDescent="0.3"/>
    <row r="86" spans="1:10" ht="14.25" customHeight="1" x14ac:dyDescent="0.3"/>
    <row r="87" spans="1:10" ht="14.25" customHeight="1" x14ac:dyDescent="0.3"/>
    <row r="88" spans="1:10" ht="14.25" customHeight="1" x14ac:dyDescent="0.3"/>
    <row r="89" spans="1:10" ht="14.25" customHeight="1" x14ac:dyDescent="0.3"/>
    <row r="90" spans="1:10" ht="14.25" customHeight="1" x14ac:dyDescent="0.3"/>
    <row r="91" spans="1:10" ht="14.25" customHeight="1" x14ac:dyDescent="0.3"/>
    <row r="92" spans="1:10" ht="14.25" customHeight="1" x14ac:dyDescent="0.3"/>
    <row r="93" spans="1:10" ht="14.25" customHeight="1" x14ac:dyDescent="0.3"/>
    <row r="94" spans="1:10" ht="14.25" customHeight="1" x14ac:dyDescent="0.3"/>
    <row r="95" spans="1:10" ht="14.25" customHeight="1" x14ac:dyDescent="0.3"/>
    <row r="96" spans="1:10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conditionalFormatting sqref="B28:C34 E28:J34 D34">
    <cfRule type="containsBlanks" dxfId="35" priority="7">
      <formula>LEN(TRIM(B28))=0</formula>
    </cfRule>
  </conditionalFormatting>
  <conditionalFormatting sqref="B59:I65 B75:M76 D83:D84 G83:G84 J83:J84">
    <cfRule type="containsBlanks" dxfId="34" priority="6">
      <formula>LEN(TRIM(B59))=0</formula>
    </cfRule>
  </conditionalFormatting>
  <conditionalFormatting sqref="C70:C71">
    <cfRule type="containsBlanks" dxfId="33" priority="9">
      <formula>LEN(TRIM(C70))=0</formula>
    </cfRule>
  </conditionalFormatting>
  <conditionalFormatting sqref="D3:D4">
    <cfRule type="containsBlanks" dxfId="32" priority="10">
      <formula>LEN(TRIM(D3))=0</formula>
    </cfRule>
  </conditionalFormatting>
  <conditionalFormatting sqref="D8:D16">
    <cfRule type="containsBlanks" dxfId="31" priority="3">
      <formula>LEN(TRIM(D8))=0</formula>
    </cfRule>
  </conditionalFormatting>
  <conditionalFormatting sqref="D18">
    <cfRule type="containsBlanks" dxfId="30" priority="11">
      <formula>LEN(TRIM(D18))=0</formula>
    </cfRule>
  </conditionalFormatting>
  <conditionalFormatting sqref="D44:H44 B44:C50">
    <cfRule type="containsBlanks" dxfId="29" priority="5">
      <formula>LEN(TRIM(B44))=0</formula>
    </cfRule>
  </conditionalFormatting>
  <conditionalFormatting sqref="E39">
    <cfRule type="containsBlanks" dxfId="28" priority="14">
      <formula>LEN(TRIM(E39))=0</formula>
    </cfRule>
  </conditionalFormatting>
  <conditionalFormatting sqref="E49">
    <cfRule type="containsBlanks" dxfId="27" priority="4">
      <formula>LEN(TRIM(E49))=0</formula>
    </cfRule>
  </conditionalFormatting>
  <conditionalFormatting sqref="G3:G4">
    <cfRule type="containsBlanks" dxfId="26" priority="1">
      <formula>LEN(TRIM(G3))=0</formula>
    </cfRule>
  </conditionalFormatting>
  <conditionalFormatting sqref="H3:H4 I44:J44 D45:J48 D49 F49:J49 D50:J50">
    <cfRule type="containsBlanks" dxfId="25" priority="16">
      <formula>LEN(TRIM(D8))=0</formula>
    </cfRule>
  </conditionalFormatting>
  <conditionalFormatting sqref="H8:H16">
    <cfRule type="containsBlanks" dxfId="24" priority="2">
      <formula>LEN(TRIM(H8))=0</formula>
    </cfRule>
  </conditionalFormatting>
  <conditionalFormatting sqref="H71">
    <cfRule type="containsBlanks" dxfId="23" priority="17">
      <formula>LEN(TRIM(H71))=0</formula>
    </cfRule>
  </conditionalFormatting>
  <conditionalFormatting sqref="J60:M65">
    <cfRule type="containsBlanks" dxfId="22" priority="19">
      <formula>LEN(TRIM(J60))=0</formula>
    </cfRule>
  </conditionalFormatting>
  <conditionalFormatting sqref="K59:M59">
    <cfRule type="containsBlanks" dxfId="21" priority="20">
      <formula>LEN(TRIM(K59))=0</formula>
    </cfRule>
  </conditionalFormatting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0"/>
  <sheetViews>
    <sheetView tabSelected="1" topLeftCell="A31" workbookViewId="0">
      <selection activeCell="D32" sqref="D32"/>
    </sheetView>
  </sheetViews>
  <sheetFormatPr defaultColWidth="14.44140625" defaultRowHeight="15" customHeight="1" x14ac:dyDescent="0.3"/>
  <cols>
    <col min="1" max="8" width="8.6640625" customWidth="1"/>
    <col min="9" max="9" width="9.109375" customWidth="1"/>
    <col min="10" max="21" width="8.6640625" customWidth="1"/>
    <col min="22" max="22" width="9.109375" customWidth="1"/>
    <col min="23" max="26" width="8.6640625" customWidth="1"/>
  </cols>
  <sheetData>
    <row r="1" spans="1:22" ht="14.25" customHeight="1" x14ac:dyDescent="0.3">
      <c r="B1" s="2" t="s">
        <v>74</v>
      </c>
      <c r="I1" s="11"/>
      <c r="L1" s="2" t="s">
        <v>75</v>
      </c>
      <c r="V1" s="11"/>
    </row>
    <row r="2" spans="1:22" ht="14.25" customHeight="1" x14ac:dyDescent="0.3">
      <c r="A2" s="1"/>
      <c r="B2" s="1" t="s">
        <v>76</v>
      </c>
      <c r="C2" s="1" t="s">
        <v>77</v>
      </c>
      <c r="D2" s="1" t="s">
        <v>39</v>
      </c>
      <c r="E2" s="1" t="s">
        <v>78</v>
      </c>
      <c r="F2" s="1" t="s">
        <v>79</v>
      </c>
      <c r="G2" s="1" t="s">
        <v>80</v>
      </c>
      <c r="H2" s="1" t="s">
        <v>81</v>
      </c>
      <c r="I2" s="12" t="s">
        <v>31</v>
      </c>
      <c r="L2" s="1" t="s">
        <v>81</v>
      </c>
      <c r="M2" s="1" t="s">
        <v>77</v>
      </c>
      <c r="N2" s="1" t="s">
        <v>76</v>
      </c>
      <c r="O2" s="1" t="s">
        <v>39</v>
      </c>
      <c r="P2" s="1" t="s">
        <v>57</v>
      </c>
      <c r="Q2" s="1" t="s">
        <v>80</v>
      </c>
      <c r="R2" s="1" t="s">
        <v>82</v>
      </c>
      <c r="S2" s="1" t="s">
        <v>78</v>
      </c>
      <c r="T2" s="1" t="s">
        <v>79</v>
      </c>
      <c r="U2" s="1" t="s">
        <v>83</v>
      </c>
      <c r="V2" s="12" t="s">
        <v>31</v>
      </c>
    </row>
    <row r="3" spans="1:22" ht="14.25" customHeight="1" x14ac:dyDescent="0.3">
      <c r="A3" s="13" t="s">
        <v>84</v>
      </c>
      <c r="I3" s="11"/>
      <c r="K3" s="13" t="s">
        <v>84</v>
      </c>
      <c r="V3" s="8"/>
    </row>
    <row r="4" spans="1:22" ht="14.25" customHeight="1" x14ac:dyDescent="0.3">
      <c r="A4" s="5" t="s">
        <v>85</v>
      </c>
      <c r="B4" s="5">
        <v>16530</v>
      </c>
      <c r="C4" s="5">
        <v>241</v>
      </c>
      <c r="D4" s="10">
        <v>-8</v>
      </c>
      <c r="E4" s="5">
        <v>682</v>
      </c>
      <c r="F4" s="5">
        <v>707</v>
      </c>
      <c r="G4" s="5">
        <v>504</v>
      </c>
      <c r="H4" s="5">
        <v>1.5</v>
      </c>
      <c r="I4" s="8">
        <v>1.5393518518518518E-2</v>
      </c>
      <c r="J4" s="11"/>
      <c r="K4" s="5" t="s">
        <v>85</v>
      </c>
      <c r="L4" s="5">
        <v>4.5999999999999996</v>
      </c>
      <c r="M4" s="5">
        <v>163</v>
      </c>
      <c r="N4" s="5">
        <v>15960</v>
      </c>
      <c r="O4" s="5" t="s">
        <v>48</v>
      </c>
      <c r="P4" s="5" t="s">
        <v>48</v>
      </c>
      <c r="Q4" s="5" t="s">
        <v>48</v>
      </c>
      <c r="R4" s="5" t="s">
        <v>48</v>
      </c>
      <c r="S4" s="5">
        <v>406</v>
      </c>
      <c r="T4" s="5">
        <v>429</v>
      </c>
      <c r="U4" s="5">
        <v>-0.8</v>
      </c>
      <c r="V4" s="8">
        <v>2.5208333333333333E-2</v>
      </c>
    </row>
    <row r="5" spans="1:22" ht="14.25" customHeight="1" x14ac:dyDescent="0.3">
      <c r="A5" s="5" t="s">
        <v>86</v>
      </c>
      <c r="B5" s="5">
        <v>16530</v>
      </c>
      <c r="C5" s="5">
        <v>241</v>
      </c>
      <c r="D5" s="10">
        <v>-8</v>
      </c>
      <c r="E5" s="5">
        <v>682</v>
      </c>
      <c r="F5" s="5">
        <v>708</v>
      </c>
      <c r="G5" s="5">
        <v>508</v>
      </c>
      <c r="H5" s="5">
        <v>1.5</v>
      </c>
      <c r="I5" s="8">
        <v>1.5381944444444445E-2</v>
      </c>
      <c r="K5" s="5" t="s">
        <v>86</v>
      </c>
      <c r="L5" s="5">
        <v>4.7</v>
      </c>
      <c r="M5" s="5">
        <v>163</v>
      </c>
      <c r="N5" s="5">
        <v>15960</v>
      </c>
      <c r="O5" s="5" t="s">
        <v>48</v>
      </c>
      <c r="P5" s="5" t="s">
        <v>48</v>
      </c>
      <c r="Q5" s="5" t="s">
        <v>48</v>
      </c>
      <c r="R5" s="5" t="s">
        <v>48</v>
      </c>
      <c r="S5" s="5">
        <v>406</v>
      </c>
      <c r="T5" s="5">
        <v>430</v>
      </c>
      <c r="U5" s="5">
        <v>-0.8</v>
      </c>
      <c r="V5" s="8">
        <v>2.5208333333333333E-2</v>
      </c>
    </row>
    <row r="6" spans="1:22" ht="14.25" customHeight="1" x14ac:dyDescent="0.3">
      <c r="A6" s="2" t="s">
        <v>87</v>
      </c>
      <c r="B6" s="2">
        <v>16530</v>
      </c>
      <c r="C6" s="2">
        <v>241</v>
      </c>
      <c r="D6" s="7">
        <v>-8</v>
      </c>
      <c r="E6" s="2">
        <v>680</v>
      </c>
      <c r="F6" s="5">
        <v>708</v>
      </c>
      <c r="G6">
        <v>508</v>
      </c>
      <c r="H6" s="2">
        <v>1.5</v>
      </c>
      <c r="I6" s="8">
        <v>1.5405092592592592E-2</v>
      </c>
      <c r="K6" s="5" t="s">
        <v>87</v>
      </c>
      <c r="L6" s="5">
        <v>4.5999999999999996</v>
      </c>
      <c r="M6" s="5">
        <v>163</v>
      </c>
      <c r="N6" s="5">
        <v>15960</v>
      </c>
      <c r="O6" s="5" t="s">
        <v>48</v>
      </c>
      <c r="P6" s="5">
        <v>-1</v>
      </c>
      <c r="Q6" s="5" t="s">
        <v>48</v>
      </c>
      <c r="R6" s="5">
        <v>1.6</v>
      </c>
      <c r="S6" s="5" t="s">
        <v>48</v>
      </c>
      <c r="T6" s="5" t="s">
        <v>48</v>
      </c>
      <c r="U6" s="5" t="s">
        <v>48</v>
      </c>
      <c r="V6" s="8">
        <v>2.5231481481481483E-2</v>
      </c>
    </row>
    <row r="7" spans="1:22" ht="14.25" customHeight="1" x14ac:dyDescent="0.3">
      <c r="A7" s="5" t="s">
        <v>88</v>
      </c>
      <c r="B7" s="5">
        <v>16530</v>
      </c>
      <c r="C7" s="5">
        <v>241</v>
      </c>
      <c r="D7" s="10">
        <v>-8</v>
      </c>
      <c r="E7" s="5">
        <v>679</v>
      </c>
      <c r="F7" s="5">
        <v>706</v>
      </c>
      <c r="G7" s="5">
        <v>505</v>
      </c>
      <c r="H7" s="5">
        <v>1.5</v>
      </c>
      <c r="I7" s="8">
        <v>1.5393518518518518E-2</v>
      </c>
      <c r="K7" s="5" t="s">
        <v>88</v>
      </c>
      <c r="L7" s="5">
        <v>4.7</v>
      </c>
      <c r="M7" s="5">
        <v>163</v>
      </c>
      <c r="N7" s="5">
        <v>15960</v>
      </c>
      <c r="O7" s="5">
        <v>-13.8</v>
      </c>
      <c r="P7" s="5" t="s">
        <v>48</v>
      </c>
      <c r="Q7" s="5">
        <v>714</v>
      </c>
      <c r="R7" s="5" t="s">
        <v>48</v>
      </c>
      <c r="S7" s="5" t="s">
        <v>48</v>
      </c>
      <c r="T7" s="5" t="s">
        <v>48</v>
      </c>
      <c r="U7" s="5" t="s">
        <v>48</v>
      </c>
      <c r="V7" s="8">
        <v>2.5196759259259259E-2</v>
      </c>
    </row>
    <row r="8" spans="1:22" ht="14.25" customHeight="1" x14ac:dyDescent="0.3">
      <c r="A8" s="5" t="s">
        <v>89</v>
      </c>
      <c r="B8" s="5">
        <v>16530</v>
      </c>
      <c r="C8" s="5">
        <v>241</v>
      </c>
      <c r="D8" s="10">
        <v>-8.3000000000000007</v>
      </c>
      <c r="E8" s="5">
        <v>675</v>
      </c>
      <c r="F8" s="5">
        <v>706</v>
      </c>
      <c r="G8" s="5">
        <v>503</v>
      </c>
      <c r="H8" s="5">
        <v>1.5</v>
      </c>
      <c r="I8" s="8">
        <v>1.5439814814814814E-2</v>
      </c>
      <c r="K8" s="5" t="s">
        <v>89</v>
      </c>
      <c r="L8" s="5">
        <v>4.5999999999999996</v>
      </c>
      <c r="M8" s="5">
        <v>163</v>
      </c>
      <c r="N8" s="5">
        <v>15960</v>
      </c>
      <c r="O8" s="5">
        <v>-13.8</v>
      </c>
      <c r="P8" s="5">
        <v>-1</v>
      </c>
      <c r="Q8" s="5" t="s">
        <v>48</v>
      </c>
      <c r="R8" s="5" t="s">
        <v>48</v>
      </c>
      <c r="S8" s="5" t="s">
        <v>48</v>
      </c>
      <c r="T8" s="5" t="s">
        <v>48</v>
      </c>
      <c r="U8" s="5" t="s">
        <v>48</v>
      </c>
      <c r="V8" s="8">
        <v>2.5208333333333333E-2</v>
      </c>
    </row>
    <row r="9" spans="1:22" ht="14.25" customHeight="1" x14ac:dyDescent="0.3">
      <c r="A9" s="5" t="s">
        <v>61</v>
      </c>
      <c r="B9" s="5">
        <v>16530</v>
      </c>
      <c r="C9" s="5">
        <v>241</v>
      </c>
      <c r="D9" s="10">
        <v>-8</v>
      </c>
      <c r="E9" s="5">
        <v>676</v>
      </c>
      <c r="F9" s="5">
        <v>707</v>
      </c>
      <c r="G9" s="5">
        <v>504</v>
      </c>
      <c r="H9" s="5">
        <v>1.5</v>
      </c>
      <c r="I9" s="8">
        <v>1.5416666666666667E-2</v>
      </c>
      <c r="K9" s="5" t="s">
        <v>61</v>
      </c>
      <c r="L9" s="5">
        <v>4.7</v>
      </c>
      <c r="M9" s="5">
        <v>162</v>
      </c>
      <c r="N9" s="5">
        <v>15960</v>
      </c>
      <c r="O9" s="5" t="s">
        <v>48</v>
      </c>
      <c r="P9" s="5" t="s">
        <v>48</v>
      </c>
      <c r="Q9" s="5">
        <v>717</v>
      </c>
      <c r="R9" s="5">
        <v>1.6</v>
      </c>
      <c r="S9" s="5" t="s">
        <v>48</v>
      </c>
      <c r="T9" s="5" t="s">
        <v>48</v>
      </c>
      <c r="U9" s="5" t="s">
        <v>48</v>
      </c>
      <c r="V9" s="8">
        <v>2.5219907407407406E-2</v>
      </c>
    </row>
    <row r="10" spans="1:22" ht="14.25" customHeight="1" x14ac:dyDescent="0.3">
      <c r="A10" s="14" t="s">
        <v>90</v>
      </c>
      <c r="B10" s="15">
        <f t="shared" ref="B10:I10" si="0">AVERAGE(B3:B9)</f>
        <v>16530</v>
      </c>
      <c r="C10" s="15">
        <f t="shared" si="0"/>
        <v>241</v>
      </c>
      <c r="D10" s="15">
        <f t="shared" si="0"/>
        <v>-8.0499999999999989</v>
      </c>
      <c r="E10" s="15">
        <f t="shared" si="0"/>
        <v>679</v>
      </c>
      <c r="F10" s="15">
        <f t="shared" si="0"/>
        <v>707</v>
      </c>
      <c r="G10" s="15">
        <f t="shared" si="0"/>
        <v>505.33333333333331</v>
      </c>
      <c r="H10" s="15">
        <f t="shared" si="0"/>
        <v>1.5</v>
      </c>
      <c r="I10" s="16">
        <f t="shared" si="0"/>
        <v>1.540509259259259E-2</v>
      </c>
      <c r="K10" s="14" t="s">
        <v>90</v>
      </c>
      <c r="L10" s="15">
        <f t="shared" ref="L10:V10" si="1">AVERAGE(L4:L9)</f>
        <v>4.6500000000000004</v>
      </c>
      <c r="M10" s="15">
        <f t="shared" si="1"/>
        <v>162.83333333333334</v>
      </c>
      <c r="N10" s="15">
        <f t="shared" si="1"/>
        <v>15960</v>
      </c>
      <c r="O10" s="15">
        <f t="shared" si="1"/>
        <v>-13.8</v>
      </c>
      <c r="P10" s="15">
        <f t="shared" si="1"/>
        <v>-1</v>
      </c>
      <c r="Q10" s="15">
        <f t="shared" si="1"/>
        <v>715.5</v>
      </c>
      <c r="R10" s="15">
        <f t="shared" si="1"/>
        <v>1.6</v>
      </c>
      <c r="S10" s="15">
        <f t="shared" si="1"/>
        <v>406</v>
      </c>
      <c r="T10" s="15">
        <f t="shared" si="1"/>
        <v>429.5</v>
      </c>
      <c r="U10" s="15">
        <f t="shared" si="1"/>
        <v>-0.8</v>
      </c>
      <c r="V10" s="16">
        <f t="shared" si="1"/>
        <v>2.5212191358024688E-2</v>
      </c>
    </row>
    <row r="11" spans="1:22" ht="14.25" customHeight="1" x14ac:dyDescent="0.3">
      <c r="A11" s="13" t="s">
        <v>91</v>
      </c>
      <c r="I11" s="8"/>
      <c r="K11" s="13" t="s">
        <v>91</v>
      </c>
      <c r="V11" s="8"/>
    </row>
    <row r="12" spans="1:22" ht="14.25" customHeight="1" x14ac:dyDescent="0.3">
      <c r="A12" s="5" t="s">
        <v>85</v>
      </c>
      <c r="B12" s="5">
        <v>16530</v>
      </c>
      <c r="C12" s="5">
        <v>221</v>
      </c>
      <c r="D12" s="10">
        <v>-9.8000000000000007</v>
      </c>
      <c r="E12" s="5">
        <v>572</v>
      </c>
      <c r="F12" s="5">
        <v>599</v>
      </c>
      <c r="G12" s="5">
        <v>567</v>
      </c>
      <c r="H12" s="5">
        <v>2</v>
      </c>
      <c r="I12" s="8">
        <v>1.7418981481481483E-2</v>
      </c>
      <c r="K12" s="5" t="s">
        <v>85</v>
      </c>
      <c r="L12" s="5">
        <v>5.6</v>
      </c>
      <c r="M12" s="5">
        <v>150</v>
      </c>
      <c r="N12" s="5">
        <v>16300</v>
      </c>
      <c r="O12" s="5" t="s">
        <v>48</v>
      </c>
      <c r="P12" s="5" t="s">
        <v>48</v>
      </c>
      <c r="Q12" s="5" t="s">
        <v>48</v>
      </c>
      <c r="R12" s="5" t="s">
        <v>48</v>
      </c>
      <c r="S12" s="5">
        <v>400</v>
      </c>
      <c r="T12" s="5">
        <v>423</v>
      </c>
      <c r="U12" s="5">
        <v>-1.4</v>
      </c>
      <c r="V12" s="8">
        <v>2.5972222222222223E-2</v>
      </c>
    </row>
    <row r="13" spans="1:22" ht="14.25" customHeight="1" x14ac:dyDescent="0.3">
      <c r="A13" s="5" t="s">
        <v>86</v>
      </c>
      <c r="B13" s="5">
        <v>16530</v>
      </c>
      <c r="C13" s="5">
        <v>221</v>
      </c>
      <c r="D13" s="10">
        <v>-9.5</v>
      </c>
      <c r="E13" s="5">
        <v>573</v>
      </c>
      <c r="F13" s="5">
        <v>600</v>
      </c>
      <c r="G13" s="5">
        <v>565</v>
      </c>
      <c r="H13" s="5">
        <v>2</v>
      </c>
      <c r="I13" s="8">
        <v>1.7384259259259259E-2</v>
      </c>
      <c r="K13" s="5" t="s">
        <v>86</v>
      </c>
      <c r="L13" s="5">
        <v>5.6</v>
      </c>
      <c r="M13" s="5">
        <v>150</v>
      </c>
      <c r="N13" s="5">
        <v>16300</v>
      </c>
      <c r="O13" s="5" t="s">
        <v>48</v>
      </c>
      <c r="P13" s="5" t="s">
        <v>48</v>
      </c>
      <c r="Q13" s="5" t="s">
        <v>48</v>
      </c>
      <c r="R13" s="5" t="s">
        <v>48</v>
      </c>
      <c r="S13" s="5">
        <v>400</v>
      </c>
      <c r="T13" s="5">
        <v>422</v>
      </c>
      <c r="U13" s="5">
        <v>-1.4</v>
      </c>
      <c r="V13" s="8">
        <v>2.5983796296296297E-2</v>
      </c>
    </row>
    <row r="14" spans="1:22" ht="14.25" customHeight="1" x14ac:dyDescent="0.3">
      <c r="A14" s="5" t="s">
        <v>87</v>
      </c>
      <c r="B14" s="2">
        <v>16530</v>
      </c>
      <c r="C14" s="2">
        <v>222</v>
      </c>
      <c r="D14" s="7">
        <v>-9.5</v>
      </c>
      <c r="E14" s="2">
        <v>572</v>
      </c>
      <c r="F14" s="5">
        <v>600</v>
      </c>
      <c r="G14" s="2">
        <v>565</v>
      </c>
      <c r="H14" s="2">
        <v>2</v>
      </c>
      <c r="I14" s="8">
        <v>1.7384259259259259E-2</v>
      </c>
      <c r="K14" s="5" t="s">
        <v>87</v>
      </c>
      <c r="L14" s="5">
        <v>5.6</v>
      </c>
      <c r="M14" s="5">
        <v>150</v>
      </c>
      <c r="N14" s="5">
        <v>16300</v>
      </c>
      <c r="O14" s="5" t="s">
        <v>48</v>
      </c>
      <c r="P14" s="5">
        <v>-26</v>
      </c>
      <c r="Q14" s="5" t="s">
        <v>48</v>
      </c>
      <c r="R14" s="5">
        <v>1.5</v>
      </c>
      <c r="S14" s="5" t="s">
        <v>48</v>
      </c>
      <c r="T14" s="5" t="s">
        <v>48</v>
      </c>
      <c r="U14" s="5" t="s">
        <v>48</v>
      </c>
      <c r="V14" s="8">
        <v>2.5960648148148149E-2</v>
      </c>
    </row>
    <row r="15" spans="1:22" ht="14.25" customHeight="1" x14ac:dyDescent="0.3">
      <c r="A15" s="5" t="s">
        <v>88</v>
      </c>
      <c r="B15" s="5">
        <v>16530</v>
      </c>
      <c r="C15" s="5">
        <v>221</v>
      </c>
      <c r="D15" s="10">
        <v>-9.8000000000000007</v>
      </c>
      <c r="E15" s="5">
        <v>573</v>
      </c>
      <c r="F15" s="5">
        <v>598</v>
      </c>
      <c r="G15" s="5">
        <v>565</v>
      </c>
      <c r="H15" s="5">
        <v>2</v>
      </c>
      <c r="I15" s="8">
        <v>1.7361111111111112E-2</v>
      </c>
      <c r="K15" s="5" t="s">
        <v>88</v>
      </c>
      <c r="L15" s="5">
        <v>5.6</v>
      </c>
      <c r="M15" s="5">
        <v>150</v>
      </c>
      <c r="N15" s="5">
        <v>16300</v>
      </c>
      <c r="O15" s="5">
        <v>-15</v>
      </c>
      <c r="P15" s="5" t="s">
        <v>48</v>
      </c>
      <c r="Q15" s="5">
        <v>729</v>
      </c>
      <c r="R15" s="5" t="s">
        <v>48</v>
      </c>
      <c r="S15" s="5" t="s">
        <v>48</v>
      </c>
      <c r="T15" s="5" t="s">
        <v>48</v>
      </c>
      <c r="U15" s="5" t="s">
        <v>48</v>
      </c>
      <c r="V15" s="8">
        <v>2.5949074074074076E-2</v>
      </c>
    </row>
    <row r="16" spans="1:22" ht="14.25" customHeight="1" x14ac:dyDescent="0.3">
      <c r="A16" s="5" t="s">
        <v>89</v>
      </c>
      <c r="B16" s="5">
        <v>16530</v>
      </c>
      <c r="C16" s="5">
        <v>221</v>
      </c>
      <c r="D16" s="10">
        <v>-9.5</v>
      </c>
      <c r="E16" s="5">
        <v>574</v>
      </c>
      <c r="F16" s="5">
        <v>600</v>
      </c>
      <c r="G16" s="5">
        <v>564</v>
      </c>
      <c r="H16" s="5">
        <v>2</v>
      </c>
      <c r="I16" s="8">
        <v>1.7395833333333333E-2</v>
      </c>
      <c r="K16" s="5" t="s">
        <v>89</v>
      </c>
      <c r="L16" s="5">
        <v>5.6</v>
      </c>
      <c r="M16" s="5">
        <v>150</v>
      </c>
      <c r="N16" s="5">
        <v>16300</v>
      </c>
      <c r="O16" s="5">
        <v>-15</v>
      </c>
      <c r="P16" s="5">
        <v>-26</v>
      </c>
      <c r="Q16" s="5" t="s">
        <v>48</v>
      </c>
      <c r="R16" s="5" t="s">
        <v>48</v>
      </c>
      <c r="S16" s="5" t="s">
        <v>48</v>
      </c>
      <c r="T16" s="5" t="s">
        <v>48</v>
      </c>
      <c r="U16" s="5" t="s">
        <v>48</v>
      </c>
      <c r="V16" s="8">
        <v>2.5983796296296297E-2</v>
      </c>
    </row>
    <row r="17" spans="1:22" ht="14.25" customHeight="1" x14ac:dyDescent="0.3">
      <c r="A17" s="5" t="s">
        <v>61</v>
      </c>
      <c r="B17" s="5">
        <v>16530</v>
      </c>
      <c r="C17" s="5">
        <v>221</v>
      </c>
      <c r="D17" s="10">
        <v>-10</v>
      </c>
      <c r="E17" s="5">
        <v>571</v>
      </c>
      <c r="F17" s="5">
        <v>598</v>
      </c>
      <c r="G17" s="5">
        <v>566</v>
      </c>
      <c r="H17" s="5">
        <v>2</v>
      </c>
      <c r="I17" s="8">
        <v>1.7395833333333333E-2</v>
      </c>
      <c r="K17" s="5" t="s">
        <v>61</v>
      </c>
      <c r="L17" s="5">
        <v>5.6</v>
      </c>
      <c r="M17" s="5">
        <v>151</v>
      </c>
      <c r="N17" s="5">
        <v>16300</v>
      </c>
      <c r="O17" s="5" t="s">
        <v>48</v>
      </c>
      <c r="P17" s="5" t="s">
        <v>48</v>
      </c>
      <c r="Q17" s="5">
        <v>732</v>
      </c>
      <c r="R17" s="5">
        <v>1.5</v>
      </c>
      <c r="S17" s="5" t="s">
        <v>48</v>
      </c>
      <c r="T17" s="5" t="s">
        <v>48</v>
      </c>
      <c r="U17" s="5" t="s">
        <v>48</v>
      </c>
      <c r="V17" s="8">
        <v>2.5960648148148149E-2</v>
      </c>
    </row>
    <row r="18" spans="1:22" ht="14.25" customHeight="1" x14ac:dyDescent="0.3">
      <c r="A18" s="14" t="s">
        <v>90</v>
      </c>
      <c r="B18" s="9">
        <f t="shared" ref="B18:I18" si="2">AVERAGE(B11:B17)</f>
        <v>16530</v>
      </c>
      <c r="C18" s="9">
        <f t="shared" si="2"/>
        <v>221.16666666666666</v>
      </c>
      <c r="D18" s="10">
        <f t="shared" si="2"/>
        <v>-9.6833333333333336</v>
      </c>
      <c r="E18" s="9">
        <f t="shared" si="2"/>
        <v>572.5</v>
      </c>
      <c r="F18" s="9">
        <f t="shared" si="2"/>
        <v>599.16666666666663</v>
      </c>
      <c r="G18" s="9">
        <f t="shared" si="2"/>
        <v>565.33333333333337</v>
      </c>
      <c r="H18" s="9">
        <f t="shared" si="2"/>
        <v>2</v>
      </c>
      <c r="I18" s="16">
        <f t="shared" si="2"/>
        <v>1.7390046296296296E-2</v>
      </c>
      <c r="K18" s="14" t="s">
        <v>90</v>
      </c>
      <c r="L18" s="15">
        <f t="shared" ref="L18:V18" si="3">AVERAGE(L12:L17)</f>
        <v>5.6000000000000005</v>
      </c>
      <c r="M18" s="15">
        <f t="shared" si="3"/>
        <v>150.16666666666666</v>
      </c>
      <c r="N18" s="15">
        <f t="shared" si="3"/>
        <v>16300</v>
      </c>
      <c r="O18" s="15">
        <f t="shared" si="3"/>
        <v>-15</v>
      </c>
      <c r="P18" s="15">
        <f t="shared" si="3"/>
        <v>-26</v>
      </c>
      <c r="Q18" s="15">
        <f t="shared" si="3"/>
        <v>730.5</v>
      </c>
      <c r="R18" s="15">
        <f t="shared" si="3"/>
        <v>1.5</v>
      </c>
      <c r="S18" s="15">
        <f t="shared" si="3"/>
        <v>400</v>
      </c>
      <c r="T18" s="15">
        <f t="shared" si="3"/>
        <v>422.5</v>
      </c>
      <c r="U18" s="15">
        <f t="shared" si="3"/>
        <v>-1.4</v>
      </c>
      <c r="V18" s="16">
        <f t="shared" si="3"/>
        <v>2.5968364197530864E-2</v>
      </c>
    </row>
    <row r="19" spans="1:22" ht="14.25" customHeight="1" x14ac:dyDescent="0.3">
      <c r="A19" s="13" t="s">
        <v>92</v>
      </c>
      <c r="I19" s="8"/>
      <c r="K19" s="13" t="s">
        <v>92</v>
      </c>
      <c r="V19" s="8"/>
    </row>
    <row r="20" spans="1:22" ht="14.25" customHeight="1" x14ac:dyDescent="0.3">
      <c r="A20" s="5" t="s">
        <v>85</v>
      </c>
      <c r="B20" s="5">
        <v>16480</v>
      </c>
      <c r="C20" s="5">
        <v>186</v>
      </c>
      <c r="D20" s="5">
        <v>-12.3</v>
      </c>
      <c r="E20" s="5">
        <v>476</v>
      </c>
      <c r="F20" s="5">
        <v>497</v>
      </c>
      <c r="G20" s="5">
        <v>594</v>
      </c>
      <c r="H20" s="5">
        <v>3.4</v>
      </c>
      <c r="I20" s="8">
        <v>1.8831018518518518E-2</v>
      </c>
      <c r="K20" s="5" t="s">
        <v>85</v>
      </c>
      <c r="L20" s="5">
        <v>6.7</v>
      </c>
      <c r="M20" s="5">
        <v>139</v>
      </c>
      <c r="N20" s="5">
        <v>16570</v>
      </c>
      <c r="O20" s="5" t="s">
        <v>48</v>
      </c>
      <c r="P20" s="5" t="s">
        <v>48</v>
      </c>
      <c r="Q20" s="5" t="s">
        <v>48</v>
      </c>
      <c r="R20" s="5" t="s">
        <v>48</v>
      </c>
      <c r="S20" s="5">
        <v>395</v>
      </c>
      <c r="T20" s="5">
        <v>417</v>
      </c>
      <c r="U20" s="5">
        <v>-1.9</v>
      </c>
      <c r="V20" s="8">
        <v>2.6701388888888889E-2</v>
      </c>
    </row>
    <row r="21" spans="1:22" ht="14.25" customHeight="1" x14ac:dyDescent="0.3">
      <c r="A21" s="5" t="s">
        <v>86</v>
      </c>
      <c r="B21" s="5">
        <v>16480</v>
      </c>
      <c r="C21" s="5">
        <v>186</v>
      </c>
      <c r="D21" s="5">
        <v>-12</v>
      </c>
      <c r="E21" s="5">
        <v>475</v>
      </c>
      <c r="F21" s="5">
        <v>497</v>
      </c>
      <c r="G21" s="5">
        <v>595</v>
      </c>
      <c r="H21" s="5">
        <v>3.4</v>
      </c>
      <c r="I21" s="8">
        <v>1.8819444444444444E-2</v>
      </c>
      <c r="K21" s="5" t="s">
        <v>86</v>
      </c>
      <c r="L21" s="5">
        <v>6.7</v>
      </c>
      <c r="M21" s="5">
        <v>139</v>
      </c>
      <c r="N21" s="5">
        <v>16570</v>
      </c>
      <c r="O21" s="5" t="s">
        <v>48</v>
      </c>
      <c r="P21" s="5" t="s">
        <v>48</v>
      </c>
      <c r="Q21" s="5" t="s">
        <v>48</v>
      </c>
      <c r="R21" s="5" t="s">
        <v>48</v>
      </c>
      <c r="S21" s="5">
        <v>395</v>
      </c>
      <c r="T21" s="5">
        <v>418</v>
      </c>
      <c r="U21" s="5">
        <v>-1.9</v>
      </c>
      <c r="V21" s="8">
        <v>2.6689814814814816E-2</v>
      </c>
    </row>
    <row r="22" spans="1:22" ht="14.25" customHeight="1" x14ac:dyDescent="0.3">
      <c r="A22" s="5" t="s">
        <v>87</v>
      </c>
      <c r="B22" s="2">
        <v>16490</v>
      </c>
      <c r="C22" s="2">
        <v>186</v>
      </c>
      <c r="D22" s="2">
        <v>-12.3</v>
      </c>
      <c r="E22" s="2">
        <v>475</v>
      </c>
      <c r="F22" s="5">
        <v>498</v>
      </c>
      <c r="G22" s="2">
        <v>595</v>
      </c>
      <c r="H22" s="2">
        <v>3.4</v>
      </c>
      <c r="I22" s="8">
        <v>1.8807870370370371E-2</v>
      </c>
      <c r="K22" s="5" t="s">
        <v>87</v>
      </c>
      <c r="L22" s="5">
        <v>6.7</v>
      </c>
      <c r="M22" s="5">
        <v>139</v>
      </c>
      <c r="N22" s="5">
        <v>16560</v>
      </c>
      <c r="O22" s="5" t="s">
        <v>48</v>
      </c>
      <c r="P22" s="5">
        <v>-36</v>
      </c>
      <c r="Q22" s="5" t="s">
        <v>48</v>
      </c>
      <c r="R22" s="5">
        <v>1.5</v>
      </c>
      <c r="S22" s="5" t="s">
        <v>48</v>
      </c>
      <c r="T22" s="5" t="s">
        <v>48</v>
      </c>
      <c r="U22" s="5" t="s">
        <v>48</v>
      </c>
      <c r="V22" s="8">
        <v>2.6689814814814816E-2</v>
      </c>
    </row>
    <row r="23" spans="1:22" ht="14.25" customHeight="1" x14ac:dyDescent="0.3">
      <c r="A23" s="5" t="s">
        <v>88</v>
      </c>
      <c r="B23" s="5">
        <v>16490</v>
      </c>
      <c r="C23" s="5">
        <v>186</v>
      </c>
      <c r="D23" s="5">
        <v>-12</v>
      </c>
      <c r="E23" s="5">
        <v>475</v>
      </c>
      <c r="F23" s="5">
        <v>498</v>
      </c>
      <c r="G23" s="5">
        <v>593</v>
      </c>
      <c r="H23" s="5">
        <v>3.4</v>
      </c>
      <c r="I23" s="8">
        <v>1.8784722222222223E-2</v>
      </c>
      <c r="K23" s="5" t="s">
        <v>88</v>
      </c>
      <c r="L23" s="5">
        <v>6.7</v>
      </c>
      <c r="M23" s="5">
        <v>139</v>
      </c>
      <c r="N23" s="5">
        <v>16570</v>
      </c>
      <c r="O23" s="5">
        <v>-16</v>
      </c>
      <c r="P23" s="5" t="s">
        <v>48</v>
      </c>
      <c r="Q23" s="5">
        <v>742</v>
      </c>
      <c r="R23" s="5" t="s">
        <v>48</v>
      </c>
      <c r="S23" s="5" t="s">
        <v>48</v>
      </c>
      <c r="T23" s="5" t="s">
        <v>48</v>
      </c>
      <c r="U23" s="5" t="s">
        <v>48</v>
      </c>
      <c r="V23" s="8">
        <v>2.6701388888888889E-2</v>
      </c>
    </row>
    <row r="24" spans="1:22" ht="14.25" customHeight="1" x14ac:dyDescent="0.3">
      <c r="A24" s="5" t="s">
        <v>89</v>
      </c>
      <c r="B24" s="5">
        <v>16480</v>
      </c>
      <c r="C24" s="5">
        <v>186</v>
      </c>
      <c r="D24" s="5">
        <v>-12</v>
      </c>
      <c r="E24" s="5">
        <v>475</v>
      </c>
      <c r="F24" s="5">
        <v>497</v>
      </c>
      <c r="G24" s="5">
        <v>592</v>
      </c>
      <c r="H24" s="5">
        <v>3.4</v>
      </c>
      <c r="I24" s="8">
        <v>1.8842592592592591E-2</v>
      </c>
      <c r="K24" s="5" t="s">
        <v>89</v>
      </c>
      <c r="L24" s="5">
        <v>6.7</v>
      </c>
      <c r="M24" s="5">
        <v>140</v>
      </c>
      <c r="N24" s="5">
        <v>16580</v>
      </c>
      <c r="O24" s="5">
        <v>-16</v>
      </c>
      <c r="P24" s="5">
        <v>-35</v>
      </c>
      <c r="Q24" s="5" t="s">
        <v>48</v>
      </c>
      <c r="R24" s="5" t="s">
        <v>48</v>
      </c>
      <c r="S24" s="5" t="s">
        <v>48</v>
      </c>
      <c r="T24" s="5" t="s">
        <v>48</v>
      </c>
      <c r="U24" s="5" t="s">
        <v>48</v>
      </c>
      <c r="V24" s="8">
        <v>2.6701388888888889E-2</v>
      </c>
    </row>
    <row r="25" spans="1:22" ht="14.25" customHeight="1" x14ac:dyDescent="0.3">
      <c r="A25" s="5" t="s">
        <v>61</v>
      </c>
      <c r="B25" s="5">
        <v>16480</v>
      </c>
      <c r="C25" s="5">
        <v>186</v>
      </c>
      <c r="D25" s="5">
        <v>-12.3</v>
      </c>
      <c r="E25" s="5">
        <v>475</v>
      </c>
      <c r="F25" s="5">
        <v>498</v>
      </c>
      <c r="G25" s="5">
        <v>596</v>
      </c>
      <c r="H25" s="5">
        <v>3.4</v>
      </c>
      <c r="I25" s="8">
        <v>1.8749999999999999E-2</v>
      </c>
      <c r="K25" s="5" t="s">
        <v>61</v>
      </c>
      <c r="L25" s="5">
        <v>6.7</v>
      </c>
      <c r="M25" s="5">
        <v>140</v>
      </c>
      <c r="N25" s="5">
        <v>16580</v>
      </c>
      <c r="O25" s="5" t="s">
        <v>48</v>
      </c>
      <c r="P25" s="5" t="s">
        <v>48</v>
      </c>
      <c r="Q25" s="5">
        <v>745</v>
      </c>
      <c r="R25" s="5">
        <v>1.5</v>
      </c>
      <c r="S25" s="5" t="s">
        <v>48</v>
      </c>
      <c r="T25" s="5" t="s">
        <v>48</v>
      </c>
      <c r="U25" s="5" t="s">
        <v>48</v>
      </c>
      <c r="V25" s="8">
        <v>2.6689814814814816E-2</v>
      </c>
    </row>
    <row r="26" spans="1:22" ht="14.25" customHeight="1" x14ac:dyDescent="0.3">
      <c r="A26" s="14" t="s">
        <v>90</v>
      </c>
      <c r="B26" s="15">
        <f t="shared" ref="B26:I26" si="4">AVERAGE(B19:B25)</f>
        <v>16483.333333333332</v>
      </c>
      <c r="C26" s="15">
        <f t="shared" si="4"/>
        <v>186</v>
      </c>
      <c r="D26" s="15">
        <f t="shared" si="4"/>
        <v>-12.15</v>
      </c>
      <c r="E26" s="15">
        <f t="shared" si="4"/>
        <v>475.16666666666669</v>
      </c>
      <c r="F26" s="15">
        <f t="shared" si="4"/>
        <v>497.5</v>
      </c>
      <c r="G26" s="15">
        <f t="shared" si="4"/>
        <v>594.16666666666663</v>
      </c>
      <c r="H26" s="15">
        <f t="shared" si="4"/>
        <v>3.4</v>
      </c>
      <c r="I26" s="16">
        <f t="shared" si="4"/>
        <v>1.8805941358024689E-2</v>
      </c>
      <c r="K26" s="14" t="s">
        <v>90</v>
      </c>
      <c r="L26" s="15">
        <f t="shared" ref="L26:V26" si="5">AVERAGE(L20:L25)</f>
        <v>6.7</v>
      </c>
      <c r="M26" s="15">
        <f t="shared" si="5"/>
        <v>139.33333333333334</v>
      </c>
      <c r="N26" s="15">
        <f t="shared" si="5"/>
        <v>16571.666666666668</v>
      </c>
      <c r="O26" s="15">
        <f t="shared" si="5"/>
        <v>-16</v>
      </c>
      <c r="P26" s="15">
        <f t="shared" si="5"/>
        <v>-35.5</v>
      </c>
      <c r="Q26" s="15">
        <f t="shared" si="5"/>
        <v>743.5</v>
      </c>
      <c r="R26" s="15">
        <f t="shared" si="5"/>
        <v>1.5</v>
      </c>
      <c r="S26" s="15">
        <f t="shared" si="5"/>
        <v>395</v>
      </c>
      <c r="T26" s="15">
        <f t="shared" si="5"/>
        <v>417.5</v>
      </c>
      <c r="U26" s="15">
        <f t="shared" si="5"/>
        <v>-1.9</v>
      </c>
      <c r="V26" s="16">
        <f t="shared" si="5"/>
        <v>2.6695601851851852E-2</v>
      </c>
    </row>
    <row r="27" spans="1:22" ht="14.25" customHeight="1" x14ac:dyDescent="0.3">
      <c r="A27" s="13" t="s">
        <v>93</v>
      </c>
      <c r="I27" s="8"/>
      <c r="K27" s="13" t="s">
        <v>93</v>
      </c>
      <c r="V27" s="8"/>
    </row>
    <row r="28" spans="1:22" ht="14.25" customHeight="1" x14ac:dyDescent="0.3">
      <c r="A28" s="5" t="s">
        <v>85</v>
      </c>
      <c r="B28" s="5">
        <v>16060</v>
      </c>
      <c r="C28" s="5">
        <v>161</v>
      </c>
      <c r="D28" s="5">
        <v>-13.3</v>
      </c>
      <c r="E28" s="5">
        <v>414</v>
      </c>
      <c r="F28" s="5">
        <v>441</v>
      </c>
      <c r="G28" s="5">
        <v>627</v>
      </c>
      <c r="H28" s="5">
        <v>5</v>
      </c>
      <c r="I28" s="8">
        <v>2.0659722222222222E-2</v>
      </c>
      <c r="K28" s="5" t="s">
        <v>85</v>
      </c>
      <c r="L28" s="5">
        <v>7.6</v>
      </c>
      <c r="M28" s="5">
        <v>133</v>
      </c>
      <c r="N28" s="5">
        <v>16850</v>
      </c>
      <c r="O28" s="5" t="s">
        <v>48</v>
      </c>
      <c r="P28" s="5" t="s">
        <v>48</v>
      </c>
      <c r="Q28" s="5" t="s">
        <v>48</v>
      </c>
      <c r="R28" s="5" t="s">
        <v>48</v>
      </c>
      <c r="S28" s="5">
        <v>391</v>
      </c>
      <c r="T28" s="5">
        <v>413</v>
      </c>
      <c r="U28" s="5">
        <v>-2.4</v>
      </c>
      <c r="V28" s="8">
        <v>2.7476851851851853E-2</v>
      </c>
    </row>
    <row r="29" spans="1:22" ht="14.25" customHeight="1" x14ac:dyDescent="0.3">
      <c r="A29" s="5" t="s">
        <v>86</v>
      </c>
      <c r="B29" s="5">
        <v>16060</v>
      </c>
      <c r="C29" s="5">
        <v>161</v>
      </c>
      <c r="D29" s="5">
        <v>-13.3</v>
      </c>
      <c r="E29" s="5">
        <v>414</v>
      </c>
      <c r="F29" s="5">
        <v>442</v>
      </c>
      <c r="G29" s="5">
        <v>627</v>
      </c>
      <c r="H29" s="5">
        <v>4.9000000000000004</v>
      </c>
      <c r="I29" s="8">
        <v>2.0659722222222222E-2</v>
      </c>
      <c r="K29" s="5" t="s">
        <v>86</v>
      </c>
      <c r="L29" s="5">
        <v>7.6</v>
      </c>
      <c r="M29" s="5">
        <v>133</v>
      </c>
      <c r="N29" s="5">
        <v>16850</v>
      </c>
      <c r="O29" s="5" t="s">
        <v>48</v>
      </c>
      <c r="P29" s="5" t="s">
        <v>48</v>
      </c>
      <c r="Q29" s="5" t="s">
        <v>48</v>
      </c>
      <c r="R29" s="5" t="s">
        <v>48</v>
      </c>
      <c r="S29" s="5">
        <v>390</v>
      </c>
      <c r="T29" s="5">
        <v>413</v>
      </c>
      <c r="U29" s="5">
        <v>-2.4</v>
      </c>
      <c r="V29" s="8">
        <v>2.7476851851851853E-2</v>
      </c>
    </row>
    <row r="30" spans="1:22" ht="14.25" customHeight="1" x14ac:dyDescent="0.3">
      <c r="A30" s="5" t="s">
        <v>87</v>
      </c>
      <c r="B30" s="2">
        <v>16060</v>
      </c>
      <c r="C30" s="2">
        <v>161</v>
      </c>
      <c r="D30" s="2">
        <v>-13.3</v>
      </c>
      <c r="E30" s="2">
        <v>414</v>
      </c>
      <c r="F30" s="5">
        <v>441</v>
      </c>
      <c r="G30" s="2">
        <v>627</v>
      </c>
      <c r="H30" s="2">
        <v>4.8</v>
      </c>
      <c r="I30" s="8">
        <v>2.0648148148148148E-2</v>
      </c>
      <c r="K30" s="5" t="s">
        <v>87</v>
      </c>
      <c r="L30" s="5">
        <v>7.5</v>
      </c>
      <c r="M30" s="5">
        <v>133</v>
      </c>
      <c r="N30" s="5">
        <v>16850</v>
      </c>
      <c r="O30" s="5" t="s">
        <v>48</v>
      </c>
      <c r="P30" s="5">
        <v>-48</v>
      </c>
      <c r="Q30" s="5" t="s">
        <v>48</v>
      </c>
      <c r="R30" s="5">
        <v>1.5</v>
      </c>
      <c r="S30" s="5" t="s">
        <v>48</v>
      </c>
      <c r="T30" s="5" t="s">
        <v>48</v>
      </c>
      <c r="U30" s="5" t="s">
        <v>48</v>
      </c>
      <c r="V30" s="8">
        <v>2.7476851851851853E-2</v>
      </c>
    </row>
    <row r="31" spans="1:22" ht="14.25" customHeight="1" x14ac:dyDescent="0.3">
      <c r="A31" s="5" t="s">
        <v>88</v>
      </c>
      <c r="B31" s="5">
        <v>16060</v>
      </c>
      <c r="C31" s="5">
        <v>161</v>
      </c>
      <c r="D31" s="5">
        <v>-13.3</v>
      </c>
      <c r="E31" s="5">
        <v>415</v>
      </c>
      <c r="F31" s="5">
        <v>442</v>
      </c>
      <c r="G31" s="5">
        <v>627</v>
      </c>
      <c r="H31" s="5">
        <v>4.9000000000000004</v>
      </c>
      <c r="I31" s="8">
        <v>2.0648148148148148E-2</v>
      </c>
      <c r="K31" s="5" t="s">
        <v>88</v>
      </c>
      <c r="L31" s="5">
        <v>7.5</v>
      </c>
      <c r="M31" s="5">
        <v>133</v>
      </c>
      <c r="N31" s="5">
        <v>16850</v>
      </c>
      <c r="O31" s="5">
        <v>-16.8</v>
      </c>
      <c r="P31" s="5" t="s">
        <v>48</v>
      </c>
      <c r="Q31" s="5">
        <v>757</v>
      </c>
      <c r="R31" s="5" t="s">
        <v>48</v>
      </c>
      <c r="S31" s="5" t="s">
        <v>48</v>
      </c>
      <c r="T31" s="5" t="s">
        <v>48</v>
      </c>
      <c r="U31" s="5" t="s">
        <v>48</v>
      </c>
      <c r="V31" s="8">
        <v>2.7465277777777779E-2</v>
      </c>
    </row>
    <row r="32" spans="1:22" ht="14.25" customHeight="1" x14ac:dyDescent="0.3">
      <c r="A32" s="5" t="s">
        <v>89</v>
      </c>
      <c r="B32" s="5">
        <v>16060</v>
      </c>
      <c r="C32" s="5">
        <v>161</v>
      </c>
      <c r="D32" s="5">
        <v>-13.3</v>
      </c>
      <c r="E32" s="5">
        <v>414</v>
      </c>
      <c r="F32" s="5">
        <v>441</v>
      </c>
      <c r="G32" s="5">
        <v>626</v>
      </c>
      <c r="H32" s="5">
        <v>4.9000000000000004</v>
      </c>
      <c r="I32" s="8">
        <v>2.0648148148148148E-2</v>
      </c>
      <c r="K32" s="5" t="s">
        <v>89</v>
      </c>
      <c r="L32" s="5">
        <v>7.6</v>
      </c>
      <c r="M32" s="5">
        <v>133</v>
      </c>
      <c r="N32" s="5">
        <v>16860</v>
      </c>
      <c r="O32" s="5">
        <v>-17</v>
      </c>
      <c r="P32" s="5">
        <v>-48</v>
      </c>
      <c r="Q32" s="5" t="s">
        <v>48</v>
      </c>
      <c r="R32" s="5" t="s">
        <v>48</v>
      </c>
      <c r="S32" s="5" t="s">
        <v>48</v>
      </c>
      <c r="T32" s="5" t="s">
        <v>48</v>
      </c>
      <c r="U32" s="5" t="s">
        <v>48</v>
      </c>
      <c r="V32" s="8">
        <v>2.75E-2</v>
      </c>
    </row>
    <row r="33" spans="1:22" ht="14.25" customHeight="1" x14ac:dyDescent="0.3">
      <c r="A33" s="5" t="s">
        <v>61</v>
      </c>
      <c r="B33" s="5">
        <v>16060</v>
      </c>
      <c r="C33" s="5">
        <v>161</v>
      </c>
      <c r="D33" s="5">
        <v>-13.3</v>
      </c>
      <c r="E33" s="5">
        <v>414</v>
      </c>
      <c r="F33" s="5">
        <v>440</v>
      </c>
      <c r="G33" s="5">
        <v>626</v>
      </c>
      <c r="H33" s="5">
        <v>4.9000000000000004</v>
      </c>
      <c r="I33" s="8">
        <v>2.0682870370370369E-2</v>
      </c>
      <c r="K33" s="5" t="s">
        <v>61</v>
      </c>
      <c r="L33" s="5">
        <v>7.6</v>
      </c>
      <c r="M33" s="5">
        <v>133</v>
      </c>
      <c r="N33" s="5">
        <v>16870</v>
      </c>
      <c r="O33" s="5" t="s">
        <v>48</v>
      </c>
      <c r="P33" s="5" t="s">
        <v>48</v>
      </c>
      <c r="Q33" s="5">
        <v>760</v>
      </c>
      <c r="R33" s="5">
        <v>1.5</v>
      </c>
      <c r="S33" s="5" t="s">
        <v>48</v>
      </c>
      <c r="T33" s="5" t="s">
        <v>48</v>
      </c>
      <c r="U33" s="5" t="s">
        <v>48</v>
      </c>
      <c r="V33" s="8">
        <v>2.7488425925925927E-2</v>
      </c>
    </row>
    <row r="34" spans="1:22" ht="14.25" customHeight="1" x14ac:dyDescent="0.3">
      <c r="A34" s="14" t="s">
        <v>90</v>
      </c>
      <c r="B34" s="15">
        <f t="shared" ref="B34:I34" si="6">AVERAGE(B27:B33)</f>
        <v>16060</v>
      </c>
      <c r="C34" s="15">
        <f t="shared" si="6"/>
        <v>161</v>
      </c>
      <c r="D34" s="15">
        <f t="shared" si="6"/>
        <v>-13.299999999999999</v>
      </c>
      <c r="E34" s="15">
        <f t="shared" si="6"/>
        <v>414.16666666666669</v>
      </c>
      <c r="F34" s="15">
        <f t="shared" si="6"/>
        <v>441.16666666666669</v>
      </c>
      <c r="G34" s="15">
        <f t="shared" si="6"/>
        <v>626.66666666666663</v>
      </c>
      <c r="H34" s="15">
        <f t="shared" si="6"/>
        <v>4.8999999999999995</v>
      </c>
      <c r="I34" s="16">
        <f t="shared" si="6"/>
        <v>2.0657793209876544E-2</v>
      </c>
      <c r="K34" s="14" t="s">
        <v>90</v>
      </c>
      <c r="L34" s="15">
        <f t="shared" ref="L34:V34" si="7">AVERAGE(L28:L33)</f>
        <v>7.5666666666666664</v>
      </c>
      <c r="M34" s="15">
        <f t="shared" si="7"/>
        <v>133</v>
      </c>
      <c r="N34" s="15">
        <f t="shared" si="7"/>
        <v>16855</v>
      </c>
      <c r="O34" s="15">
        <f t="shared" si="7"/>
        <v>-16.899999999999999</v>
      </c>
      <c r="P34" s="15">
        <f t="shared" si="7"/>
        <v>-48</v>
      </c>
      <c r="Q34" s="15">
        <f t="shared" si="7"/>
        <v>758.5</v>
      </c>
      <c r="R34" s="15">
        <f t="shared" si="7"/>
        <v>1.5</v>
      </c>
      <c r="S34" s="15">
        <f t="shared" si="7"/>
        <v>390.5</v>
      </c>
      <c r="T34" s="15">
        <f t="shared" si="7"/>
        <v>413</v>
      </c>
      <c r="U34" s="15">
        <f t="shared" si="7"/>
        <v>-2.4</v>
      </c>
      <c r="V34" s="16">
        <f t="shared" si="7"/>
        <v>2.7480709876543215E-2</v>
      </c>
    </row>
    <row r="35" spans="1:22" ht="14.25" customHeight="1" x14ac:dyDescent="0.3">
      <c r="A35" s="13" t="s">
        <v>94</v>
      </c>
      <c r="I35" s="8"/>
      <c r="K35" s="13" t="s">
        <v>94</v>
      </c>
      <c r="V35" s="8"/>
    </row>
    <row r="36" spans="1:22" ht="14.25" customHeight="1" x14ac:dyDescent="0.3">
      <c r="A36" s="5" t="s">
        <v>85</v>
      </c>
      <c r="B36" s="5">
        <v>16010</v>
      </c>
      <c r="C36" s="5">
        <v>132</v>
      </c>
      <c r="D36" s="5">
        <v>-15.5</v>
      </c>
      <c r="E36" s="5">
        <v>364</v>
      </c>
      <c r="F36" s="5">
        <v>385</v>
      </c>
      <c r="G36" s="5">
        <v>648</v>
      </c>
      <c r="H36" s="10">
        <v>7.9</v>
      </c>
      <c r="I36" s="8">
        <v>2.1990740740740741E-2</v>
      </c>
      <c r="K36" s="5" t="s">
        <v>85</v>
      </c>
      <c r="L36" s="5">
        <v>4</v>
      </c>
      <c r="M36" s="5">
        <v>173</v>
      </c>
      <c r="N36" s="5">
        <v>16030</v>
      </c>
      <c r="O36" s="5" t="s">
        <v>48</v>
      </c>
      <c r="P36" s="5" t="s">
        <v>48</v>
      </c>
      <c r="Q36" s="5" t="s">
        <v>48</v>
      </c>
      <c r="R36" s="5" t="s">
        <v>48</v>
      </c>
      <c r="S36" s="5">
        <v>407</v>
      </c>
      <c r="T36" s="5">
        <v>429</v>
      </c>
      <c r="U36" s="5">
        <v>-0.4</v>
      </c>
      <c r="V36" s="8">
        <v>2.8599537037037038E-2</v>
      </c>
    </row>
    <row r="37" spans="1:22" ht="14.25" customHeight="1" x14ac:dyDescent="0.3">
      <c r="A37" s="5" t="s">
        <v>86</v>
      </c>
      <c r="B37" s="5">
        <v>16000</v>
      </c>
      <c r="C37" s="5">
        <v>131</v>
      </c>
      <c r="D37" s="5">
        <v>-15.5</v>
      </c>
      <c r="E37" s="5">
        <v>365</v>
      </c>
      <c r="F37" s="5">
        <v>383</v>
      </c>
      <c r="G37" s="5">
        <v>647</v>
      </c>
      <c r="H37" s="10">
        <v>7.9</v>
      </c>
      <c r="I37" s="8">
        <v>2.1990740740740741E-2</v>
      </c>
      <c r="K37" s="5" t="s">
        <v>86</v>
      </c>
      <c r="L37" s="5">
        <v>4</v>
      </c>
      <c r="M37" s="5">
        <v>173</v>
      </c>
      <c r="N37" s="5">
        <v>16030</v>
      </c>
      <c r="O37" s="5" t="s">
        <v>48</v>
      </c>
      <c r="P37" s="5" t="s">
        <v>48</v>
      </c>
      <c r="Q37" s="5" t="s">
        <v>48</v>
      </c>
      <c r="R37" s="5" t="s">
        <v>48</v>
      </c>
      <c r="S37" s="5">
        <v>407</v>
      </c>
      <c r="T37" s="5">
        <v>429</v>
      </c>
      <c r="U37" s="5">
        <v>-0.4</v>
      </c>
      <c r="V37" s="8">
        <v>2.8587962962962964E-2</v>
      </c>
    </row>
    <row r="38" spans="1:22" ht="14.25" customHeight="1" x14ac:dyDescent="0.3">
      <c r="A38" s="5" t="s">
        <v>87</v>
      </c>
      <c r="B38" s="2">
        <v>16000</v>
      </c>
      <c r="C38" s="2">
        <v>131</v>
      </c>
      <c r="D38" s="2">
        <v>-15.5</v>
      </c>
      <c r="E38" s="2">
        <v>365</v>
      </c>
      <c r="F38" s="5">
        <v>385</v>
      </c>
      <c r="G38" s="2">
        <v>648</v>
      </c>
      <c r="H38" s="7">
        <v>7.9</v>
      </c>
      <c r="I38" s="8">
        <v>2.1990740740740741E-2</v>
      </c>
      <c r="K38" s="5" t="s">
        <v>87</v>
      </c>
      <c r="L38" s="5">
        <v>4</v>
      </c>
      <c r="M38" s="5">
        <v>173</v>
      </c>
      <c r="N38" s="5">
        <v>16020</v>
      </c>
      <c r="O38" s="5" t="s">
        <v>48</v>
      </c>
      <c r="P38" s="5">
        <v>20</v>
      </c>
      <c r="Q38" s="5" t="s">
        <v>48</v>
      </c>
      <c r="R38" s="5">
        <v>1.5</v>
      </c>
      <c r="S38" s="5" t="s">
        <v>48</v>
      </c>
      <c r="T38" s="5" t="s">
        <v>48</v>
      </c>
      <c r="U38" s="5" t="s">
        <v>48</v>
      </c>
      <c r="V38" s="8">
        <v>2.8587962962962964E-2</v>
      </c>
    </row>
    <row r="39" spans="1:22" ht="14.25" customHeight="1" x14ac:dyDescent="0.3">
      <c r="A39" s="5" t="s">
        <v>88</v>
      </c>
      <c r="B39" s="5">
        <v>16000</v>
      </c>
      <c r="C39" s="5">
        <v>132</v>
      </c>
      <c r="D39" s="5">
        <v>-15.5</v>
      </c>
      <c r="E39" s="5">
        <v>364</v>
      </c>
      <c r="F39" s="5">
        <v>384</v>
      </c>
      <c r="G39" s="5">
        <v>647</v>
      </c>
      <c r="H39" s="10">
        <v>7.9</v>
      </c>
      <c r="I39" s="8">
        <v>2.1990740740740741E-2</v>
      </c>
      <c r="K39" s="5" t="s">
        <v>88</v>
      </c>
      <c r="L39" s="5">
        <v>4</v>
      </c>
      <c r="M39" s="5">
        <v>173</v>
      </c>
      <c r="N39" s="5">
        <v>16020</v>
      </c>
      <c r="O39" s="5">
        <v>-13.3</v>
      </c>
      <c r="P39" s="5" t="s">
        <v>48</v>
      </c>
      <c r="Q39" s="5">
        <v>782</v>
      </c>
      <c r="R39" s="5" t="s">
        <v>48</v>
      </c>
      <c r="S39" s="5" t="s">
        <v>48</v>
      </c>
      <c r="T39" s="5" t="s">
        <v>48</v>
      </c>
      <c r="U39" s="5" t="s">
        <v>48</v>
      </c>
      <c r="V39" s="8">
        <v>2.8599537037037038E-2</v>
      </c>
    </row>
    <row r="40" spans="1:22" ht="14.25" customHeight="1" x14ac:dyDescent="0.3">
      <c r="A40" s="5" t="s">
        <v>89</v>
      </c>
      <c r="B40" s="5">
        <v>16000</v>
      </c>
      <c r="C40" s="5">
        <v>132</v>
      </c>
      <c r="D40" s="5">
        <v>-15.5</v>
      </c>
      <c r="E40" s="5">
        <v>366</v>
      </c>
      <c r="F40" s="5">
        <v>384</v>
      </c>
      <c r="G40" s="5">
        <v>647</v>
      </c>
      <c r="H40" s="10">
        <v>7.9</v>
      </c>
      <c r="I40" s="8">
        <v>2.1979166666666668E-2</v>
      </c>
      <c r="K40" s="5" t="s">
        <v>89</v>
      </c>
      <c r="L40" s="5">
        <v>4</v>
      </c>
      <c r="M40" s="5">
        <v>173</v>
      </c>
      <c r="N40" s="5">
        <v>16030</v>
      </c>
      <c r="O40" s="5">
        <v>-13.3</v>
      </c>
      <c r="P40" s="5">
        <v>20</v>
      </c>
      <c r="Q40" s="5" t="s">
        <v>48</v>
      </c>
      <c r="R40" s="5" t="s">
        <v>48</v>
      </c>
      <c r="S40" s="5" t="s">
        <v>48</v>
      </c>
      <c r="T40" s="5" t="s">
        <v>48</v>
      </c>
      <c r="U40" s="5" t="s">
        <v>48</v>
      </c>
      <c r="V40" s="8">
        <v>2.8599537037037038E-2</v>
      </c>
    </row>
    <row r="41" spans="1:22" ht="14.25" customHeight="1" x14ac:dyDescent="0.3">
      <c r="A41" s="5" t="s">
        <v>61</v>
      </c>
      <c r="B41" s="5">
        <v>16000</v>
      </c>
      <c r="C41" s="5">
        <v>131</v>
      </c>
      <c r="D41" s="5">
        <v>-15.5</v>
      </c>
      <c r="E41" s="5">
        <v>365</v>
      </c>
      <c r="F41" s="5">
        <v>385</v>
      </c>
      <c r="G41" s="5">
        <v>648</v>
      </c>
      <c r="H41" s="10">
        <v>7.9</v>
      </c>
      <c r="I41" s="8">
        <v>2.1956018518518517E-2</v>
      </c>
      <c r="K41" s="5" t="s">
        <v>61</v>
      </c>
      <c r="L41" s="5">
        <v>4</v>
      </c>
      <c r="M41" s="5">
        <v>173</v>
      </c>
      <c r="N41" s="5">
        <v>16020</v>
      </c>
      <c r="O41" s="5" t="s">
        <v>48</v>
      </c>
      <c r="P41" s="5" t="s">
        <v>48</v>
      </c>
      <c r="Q41" s="5">
        <v>782</v>
      </c>
      <c r="R41" s="5">
        <v>1.5</v>
      </c>
      <c r="S41" s="5" t="s">
        <v>48</v>
      </c>
      <c r="T41" s="5" t="s">
        <v>48</v>
      </c>
      <c r="U41" s="5" t="s">
        <v>48</v>
      </c>
      <c r="V41" s="8">
        <v>2.8587962962962964E-2</v>
      </c>
    </row>
    <row r="42" spans="1:22" ht="14.25" customHeight="1" x14ac:dyDescent="0.3">
      <c r="A42" s="14" t="s">
        <v>90</v>
      </c>
      <c r="B42" s="15">
        <f t="shared" ref="B42:I42" si="8">AVERAGE(B35:B41)</f>
        <v>16001.666666666666</v>
      </c>
      <c r="C42" s="15">
        <f t="shared" si="8"/>
        <v>131.5</v>
      </c>
      <c r="D42" s="15">
        <f t="shared" si="8"/>
        <v>-15.5</v>
      </c>
      <c r="E42" s="15">
        <f t="shared" si="8"/>
        <v>364.83333333333331</v>
      </c>
      <c r="F42" s="15">
        <f t="shared" si="8"/>
        <v>384.33333333333331</v>
      </c>
      <c r="G42" s="15">
        <f t="shared" si="8"/>
        <v>647.5</v>
      </c>
      <c r="H42" s="15">
        <f t="shared" si="8"/>
        <v>7.8999999999999995</v>
      </c>
      <c r="I42" s="16">
        <f t="shared" si="8"/>
        <v>2.1983024691358027E-2</v>
      </c>
      <c r="K42" s="14" t="s">
        <v>90</v>
      </c>
      <c r="L42" s="15">
        <f t="shared" ref="L42:V42" si="9">AVERAGE(L36:L41)</f>
        <v>4</v>
      </c>
      <c r="M42" s="15">
        <f t="shared" si="9"/>
        <v>173</v>
      </c>
      <c r="N42" s="15">
        <f t="shared" si="9"/>
        <v>16025</v>
      </c>
      <c r="O42" s="15">
        <f t="shared" si="9"/>
        <v>-13.3</v>
      </c>
      <c r="P42" s="15">
        <f t="shared" si="9"/>
        <v>20</v>
      </c>
      <c r="Q42" s="15">
        <f t="shared" si="9"/>
        <v>782</v>
      </c>
      <c r="R42" s="15">
        <f t="shared" si="9"/>
        <v>1.5</v>
      </c>
      <c r="S42" s="15">
        <f t="shared" si="9"/>
        <v>407</v>
      </c>
      <c r="T42" s="15">
        <f t="shared" si="9"/>
        <v>429</v>
      </c>
      <c r="U42" s="15">
        <f t="shared" si="9"/>
        <v>-0.4</v>
      </c>
      <c r="V42" s="16">
        <f t="shared" si="9"/>
        <v>2.8593750000000001E-2</v>
      </c>
    </row>
    <row r="43" spans="1:22" ht="14.25" customHeight="1" x14ac:dyDescent="0.3">
      <c r="A43" s="13" t="s">
        <v>95</v>
      </c>
      <c r="K43" s="13" t="s">
        <v>95</v>
      </c>
      <c r="V43" s="8"/>
    </row>
    <row r="44" spans="1:22" ht="14.25" customHeight="1" x14ac:dyDescent="0.3">
      <c r="A44" s="5" t="s">
        <v>85</v>
      </c>
      <c r="B44" s="5">
        <v>16010</v>
      </c>
      <c r="C44" s="5">
        <v>111</v>
      </c>
      <c r="D44" s="5">
        <v>-16.5</v>
      </c>
      <c r="E44" s="5">
        <v>379</v>
      </c>
      <c r="F44" s="5">
        <v>404</v>
      </c>
      <c r="G44" s="5">
        <v>667</v>
      </c>
      <c r="H44" s="5">
        <v>11.4</v>
      </c>
      <c r="I44" s="8">
        <v>2.3136574074074073E-2</v>
      </c>
      <c r="K44" s="5" t="s">
        <v>85</v>
      </c>
      <c r="L44" s="5">
        <v>3.4</v>
      </c>
      <c r="M44" s="5">
        <v>182</v>
      </c>
      <c r="N44" s="5">
        <v>15240</v>
      </c>
      <c r="O44" s="5" t="s">
        <v>48</v>
      </c>
      <c r="P44" s="5" t="s">
        <v>48</v>
      </c>
      <c r="Q44" s="5" t="s">
        <v>48</v>
      </c>
      <c r="R44" s="5" t="s">
        <v>48</v>
      </c>
      <c r="S44" s="5">
        <v>416</v>
      </c>
      <c r="T44" s="5">
        <v>439</v>
      </c>
      <c r="U44" s="5">
        <v>-0.1</v>
      </c>
      <c r="V44" s="8">
        <v>2.9861111111111113E-2</v>
      </c>
    </row>
    <row r="45" spans="1:22" ht="14.25" customHeight="1" x14ac:dyDescent="0.3">
      <c r="A45" s="5" t="s">
        <v>86</v>
      </c>
      <c r="B45" s="5">
        <v>16010</v>
      </c>
      <c r="C45" s="5">
        <v>111</v>
      </c>
      <c r="D45" s="5">
        <v>-16.5</v>
      </c>
      <c r="E45" s="5">
        <v>379</v>
      </c>
      <c r="F45" s="5">
        <v>404</v>
      </c>
      <c r="G45" s="5">
        <v>666</v>
      </c>
      <c r="H45" s="5">
        <v>11.3</v>
      </c>
      <c r="I45" s="8">
        <v>2.3113425925925926E-2</v>
      </c>
      <c r="K45" s="5" t="s">
        <v>86</v>
      </c>
      <c r="L45" s="5">
        <v>3.4</v>
      </c>
      <c r="M45" s="5">
        <v>181</v>
      </c>
      <c r="N45" s="5">
        <v>15330</v>
      </c>
      <c r="O45" s="5" t="s">
        <v>48</v>
      </c>
      <c r="P45" s="5" t="s">
        <v>48</v>
      </c>
      <c r="Q45" s="5" t="s">
        <v>48</v>
      </c>
      <c r="R45" s="5" t="s">
        <v>48</v>
      </c>
      <c r="S45" s="5">
        <v>416</v>
      </c>
      <c r="T45" s="5">
        <v>439</v>
      </c>
      <c r="U45" s="5">
        <v>-0.1</v>
      </c>
      <c r="V45" s="8">
        <v>2.9861111111111113E-2</v>
      </c>
    </row>
    <row r="46" spans="1:22" ht="14.25" customHeight="1" x14ac:dyDescent="0.3">
      <c r="A46" s="5" t="s">
        <v>87</v>
      </c>
      <c r="B46" s="2">
        <v>16010</v>
      </c>
      <c r="C46" s="2">
        <v>111</v>
      </c>
      <c r="D46" s="2">
        <v>-16.5</v>
      </c>
      <c r="E46" s="2">
        <v>379</v>
      </c>
      <c r="F46" s="5">
        <v>405</v>
      </c>
      <c r="G46" s="2">
        <v>667</v>
      </c>
      <c r="H46" s="2">
        <v>11.4</v>
      </c>
      <c r="I46" s="8">
        <v>2.3113425925925926E-2</v>
      </c>
      <c r="K46" s="5" t="s">
        <v>87</v>
      </c>
      <c r="L46" s="5">
        <v>3.4</v>
      </c>
      <c r="M46" s="5">
        <v>181</v>
      </c>
      <c r="N46" s="5">
        <v>15240</v>
      </c>
      <c r="O46" s="5" t="s">
        <v>48</v>
      </c>
      <c r="P46" s="5">
        <v>31</v>
      </c>
      <c r="Q46" s="5" t="s">
        <v>48</v>
      </c>
      <c r="R46" s="5">
        <v>1.5</v>
      </c>
      <c r="S46" s="5" t="s">
        <v>48</v>
      </c>
      <c r="T46" s="5" t="s">
        <v>48</v>
      </c>
      <c r="U46" s="5" t="s">
        <v>48</v>
      </c>
      <c r="V46" s="8">
        <v>2.9861111111111113E-2</v>
      </c>
    </row>
    <row r="47" spans="1:22" ht="14.25" customHeight="1" x14ac:dyDescent="0.3">
      <c r="A47" s="5" t="s">
        <v>88</v>
      </c>
      <c r="B47" s="5">
        <v>16010</v>
      </c>
      <c r="C47" s="5">
        <v>111</v>
      </c>
      <c r="D47" s="5">
        <v>-16.5</v>
      </c>
      <c r="E47" s="5">
        <v>379</v>
      </c>
      <c r="F47" s="5">
        <v>404</v>
      </c>
      <c r="G47" s="5">
        <v>666</v>
      </c>
      <c r="H47" s="5">
        <v>11.3</v>
      </c>
      <c r="I47" s="8">
        <v>2.3090277777777779E-2</v>
      </c>
      <c r="K47" s="5" t="s">
        <v>88</v>
      </c>
      <c r="L47" s="5">
        <v>3.4</v>
      </c>
      <c r="M47" s="5">
        <v>182</v>
      </c>
      <c r="N47" s="5">
        <v>15250</v>
      </c>
      <c r="O47" s="5">
        <v>-11</v>
      </c>
      <c r="P47" s="5" t="s">
        <v>48</v>
      </c>
      <c r="Q47" s="5">
        <v>809</v>
      </c>
      <c r="R47" s="5" t="s">
        <v>48</v>
      </c>
      <c r="S47" s="5" t="s">
        <v>48</v>
      </c>
      <c r="T47" s="5" t="s">
        <v>48</v>
      </c>
      <c r="U47" s="5" t="s">
        <v>48</v>
      </c>
      <c r="V47" s="8">
        <v>2.988425925925926E-2</v>
      </c>
    </row>
    <row r="48" spans="1:22" ht="14.25" customHeight="1" x14ac:dyDescent="0.3">
      <c r="A48" s="5" t="s">
        <v>89</v>
      </c>
      <c r="B48" s="5">
        <v>16010</v>
      </c>
      <c r="C48" s="5">
        <v>111</v>
      </c>
      <c r="D48" s="5">
        <v>-16.5</v>
      </c>
      <c r="E48" s="5">
        <v>379</v>
      </c>
      <c r="F48" s="5">
        <v>404</v>
      </c>
      <c r="G48" s="5">
        <v>666</v>
      </c>
      <c r="H48" s="5">
        <v>11.3</v>
      </c>
      <c r="I48" s="8">
        <v>2.3055555555555555E-2</v>
      </c>
      <c r="K48" s="5" t="s">
        <v>89</v>
      </c>
      <c r="L48" s="5">
        <v>3.4</v>
      </c>
      <c r="M48" s="5">
        <v>182</v>
      </c>
      <c r="N48" s="5">
        <v>15230</v>
      </c>
      <c r="O48" s="5">
        <v>-11</v>
      </c>
      <c r="P48" s="5">
        <v>31</v>
      </c>
      <c r="Q48" s="5" t="s">
        <v>48</v>
      </c>
      <c r="R48" s="5" t="s">
        <v>48</v>
      </c>
      <c r="S48" s="5" t="s">
        <v>48</v>
      </c>
      <c r="T48" s="5" t="s">
        <v>48</v>
      </c>
      <c r="U48" s="5" t="s">
        <v>48</v>
      </c>
      <c r="V48" s="8">
        <v>2.988425925925926E-2</v>
      </c>
    </row>
    <row r="49" spans="1:22" ht="14.25" customHeight="1" x14ac:dyDescent="0.3">
      <c r="A49" s="5" t="s">
        <v>61</v>
      </c>
      <c r="B49" s="5">
        <v>16010</v>
      </c>
      <c r="C49" s="5">
        <v>111</v>
      </c>
      <c r="D49" s="5">
        <v>-16.5</v>
      </c>
      <c r="E49" s="5">
        <v>379</v>
      </c>
      <c r="F49" s="5">
        <v>405</v>
      </c>
      <c r="G49" s="5">
        <v>667</v>
      </c>
      <c r="H49" s="5">
        <v>11.4</v>
      </c>
      <c r="I49" s="8">
        <v>2.3055555555555555E-2</v>
      </c>
      <c r="K49" s="5" t="s">
        <v>61</v>
      </c>
      <c r="L49" s="5">
        <v>3.4</v>
      </c>
      <c r="M49" s="5">
        <v>181</v>
      </c>
      <c r="N49" s="5">
        <v>15250</v>
      </c>
      <c r="O49" s="5" t="s">
        <v>48</v>
      </c>
      <c r="P49" s="5" t="s">
        <v>48</v>
      </c>
      <c r="Q49" s="5">
        <v>809</v>
      </c>
      <c r="R49" s="5">
        <v>1.5</v>
      </c>
      <c r="S49" s="5" t="s">
        <v>48</v>
      </c>
      <c r="T49" s="5" t="s">
        <v>48</v>
      </c>
      <c r="U49" s="5" t="s">
        <v>48</v>
      </c>
      <c r="V49" s="8">
        <v>2.9861111111111113E-2</v>
      </c>
    </row>
    <row r="50" spans="1:22" ht="14.25" customHeight="1" x14ac:dyDescent="0.3">
      <c r="A50" s="14" t="s">
        <v>90</v>
      </c>
      <c r="B50" s="15">
        <f t="shared" ref="B50:I50" si="10">AVERAGE(B43:B49)</f>
        <v>16010</v>
      </c>
      <c r="C50" s="15">
        <f t="shared" si="10"/>
        <v>111</v>
      </c>
      <c r="D50" s="15">
        <f t="shared" si="10"/>
        <v>-16.5</v>
      </c>
      <c r="E50" s="15">
        <f t="shared" si="10"/>
        <v>379</v>
      </c>
      <c r="F50" s="15">
        <f t="shared" si="10"/>
        <v>404.33333333333331</v>
      </c>
      <c r="G50" s="15">
        <f t="shared" si="10"/>
        <v>666.5</v>
      </c>
      <c r="H50" s="15">
        <f t="shared" si="10"/>
        <v>11.350000000000001</v>
      </c>
      <c r="I50" s="16">
        <f t="shared" si="10"/>
        <v>2.3094135802469135E-2</v>
      </c>
      <c r="K50" s="14" t="s">
        <v>90</v>
      </c>
      <c r="L50" s="15">
        <f t="shared" ref="L50:V50" si="11">AVERAGE(L44:L49)</f>
        <v>3.4</v>
      </c>
      <c r="M50" s="15">
        <f t="shared" si="11"/>
        <v>181.5</v>
      </c>
      <c r="N50" s="15">
        <f t="shared" si="11"/>
        <v>15256.666666666666</v>
      </c>
      <c r="O50" s="15">
        <f t="shared" si="11"/>
        <v>-11</v>
      </c>
      <c r="P50" s="15">
        <f t="shared" si="11"/>
        <v>31</v>
      </c>
      <c r="Q50" s="15">
        <f t="shared" si="11"/>
        <v>809</v>
      </c>
      <c r="R50" s="15">
        <f t="shared" si="11"/>
        <v>1.5</v>
      </c>
      <c r="S50" s="15">
        <f t="shared" si="11"/>
        <v>416</v>
      </c>
      <c r="T50" s="15">
        <f>AVERAGE(T44:T49)</f>
        <v>439</v>
      </c>
      <c r="U50" s="15">
        <f t="shared" si="11"/>
        <v>-0.1</v>
      </c>
      <c r="V50" s="16">
        <f t="shared" si="11"/>
        <v>2.9868827160493827E-2</v>
      </c>
    </row>
    <row r="51" spans="1:22" ht="14.25" customHeight="1" x14ac:dyDescent="0.3">
      <c r="I51" s="11"/>
      <c r="K51" s="13" t="s">
        <v>96</v>
      </c>
      <c r="V51" s="8"/>
    </row>
    <row r="52" spans="1:22" ht="14.25" customHeight="1" x14ac:dyDescent="0.3">
      <c r="I52" s="11"/>
      <c r="K52" s="5" t="s">
        <v>85</v>
      </c>
      <c r="L52" s="5">
        <v>2.9</v>
      </c>
      <c r="M52" s="5">
        <v>191</v>
      </c>
      <c r="N52" s="5">
        <v>14470</v>
      </c>
      <c r="O52" s="5" t="s">
        <v>48</v>
      </c>
      <c r="P52" s="5" t="s">
        <v>48</v>
      </c>
      <c r="Q52" s="5" t="s">
        <v>48</v>
      </c>
      <c r="R52" s="5" t="s">
        <v>48</v>
      </c>
      <c r="S52" s="5">
        <v>424</v>
      </c>
      <c r="T52" s="5">
        <v>450</v>
      </c>
      <c r="U52" s="5">
        <v>0.2</v>
      </c>
      <c r="V52" s="8">
        <v>3.0706018518518518E-2</v>
      </c>
    </row>
    <row r="53" spans="1:22" ht="14.25" customHeight="1" x14ac:dyDescent="0.3">
      <c r="I53" s="11"/>
      <c r="K53" s="5" t="s">
        <v>86</v>
      </c>
      <c r="L53" s="5">
        <v>2.8</v>
      </c>
      <c r="M53" s="5">
        <v>191</v>
      </c>
      <c r="N53" s="5">
        <v>14470</v>
      </c>
      <c r="O53" s="5" t="s">
        <v>48</v>
      </c>
      <c r="P53" s="5" t="s">
        <v>48</v>
      </c>
      <c r="Q53" s="5" t="s">
        <v>48</v>
      </c>
      <c r="R53" s="5" t="s">
        <v>48</v>
      </c>
      <c r="S53" s="5">
        <v>423</v>
      </c>
      <c r="T53" s="5">
        <v>450</v>
      </c>
      <c r="U53" s="5">
        <v>0.2</v>
      </c>
      <c r="V53" s="8">
        <v>3.0717592592592591E-2</v>
      </c>
    </row>
    <row r="54" spans="1:22" ht="14.25" customHeight="1" x14ac:dyDescent="0.3">
      <c r="I54" s="11"/>
      <c r="K54" s="5" t="s">
        <v>87</v>
      </c>
      <c r="L54" s="5">
        <v>2.8</v>
      </c>
      <c r="M54" s="5">
        <v>192</v>
      </c>
      <c r="N54" s="5">
        <v>14500</v>
      </c>
      <c r="O54" s="5" t="s">
        <v>48</v>
      </c>
      <c r="P54" s="5">
        <v>80</v>
      </c>
      <c r="Q54" s="5" t="s">
        <v>48</v>
      </c>
      <c r="R54" s="5">
        <v>1.5</v>
      </c>
      <c r="S54" s="5" t="s">
        <v>48</v>
      </c>
      <c r="T54" s="5" t="s">
        <v>48</v>
      </c>
      <c r="U54" s="5" t="s">
        <v>48</v>
      </c>
      <c r="V54" s="8">
        <v>3.0752314814814816E-2</v>
      </c>
    </row>
    <row r="55" spans="1:22" ht="14.25" customHeight="1" x14ac:dyDescent="0.3">
      <c r="I55" s="11"/>
      <c r="K55" s="5" t="s">
        <v>88</v>
      </c>
      <c r="L55" s="5">
        <v>2.9</v>
      </c>
      <c r="M55" s="5">
        <v>192</v>
      </c>
      <c r="N55" s="5">
        <v>14500</v>
      </c>
      <c r="O55" s="5">
        <v>-9</v>
      </c>
      <c r="P55" s="5" t="s">
        <v>48</v>
      </c>
      <c r="Q55" s="5">
        <v>824</v>
      </c>
      <c r="R55" s="5" t="s">
        <v>48</v>
      </c>
      <c r="S55" s="5" t="s">
        <v>48</v>
      </c>
      <c r="T55" s="5" t="s">
        <v>48</v>
      </c>
      <c r="U55" s="5" t="s">
        <v>48</v>
      </c>
      <c r="V55" s="8">
        <v>3.0729166666666665E-2</v>
      </c>
    </row>
    <row r="56" spans="1:22" ht="14.25" customHeight="1" x14ac:dyDescent="0.3">
      <c r="I56" s="11"/>
      <c r="K56" s="5" t="s">
        <v>89</v>
      </c>
      <c r="L56" s="5">
        <v>2.9</v>
      </c>
      <c r="M56" s="5">
        <v>191</v>
      </c>
      <c r="N56" s="5">
        <v>14500</v>
      </c>
      <c r="O56" s="5">
        <v>-9.3000000000000007</v>
      </c>
      <c r="P56" s="5">
        <v>81</v>
      </c>
      <c r="Q56" s="5" t="s">
        <v>48</v>
      </c>
      <c r="R56" s="5" t="s">
        <v>48</v>
      </c>
      <c r="S56" s="5" t="s">
        <v>48</v>
      </c>
      <c r="T56" s="5" t="s">
        <v>48</v>
      </c>
      <c r="U56" s="5" t="s">
        <v>48</v>
      </c>
      <c r="V56" s="8">
        <v>3.0717592592592591E-2</v>
      </c>
    </row>
    <row r="57" spans="1:22" ht="14.25" customHeight="1" x14ac:dyDescent="0.3">
      <c r="I57" s="11"/>
      <c r="K57" s="5" t="s">
        <v>61</v>
      </c>
      <c r="L57" s="5">
        <v>2.9</v>
      </c>
      <c r="M57" s="5">
        <v>191</v>
      </c>
      <c r="N57" s="5">
        <v>14490</v>
      </c>
      <c r="O57" s="5" t="s">
        <v>48</v>
      </c>
      <c r="P57" s="5" t="s">
        <v>48</v>
      </c>
      <c r="Q57" s="5">
        <v>824</v>
      </c>
      <c r="R57" s="5">
        <v>1.5</v>
      </c>
      <c r="S57" s="5" t="s">
        <v>48</v>
      </c>
      <c r="T57" s="5" t="s">
        <v>48</v>
      </c>
      <c r="U57" s="5" t="s">
        <v>48</v>
      </c>
      <c r="V57" s="8">
        <v>3.0706018518518518E-2</v>
      </c>
    </row>
    <row r="58" spans="1:22" ht="14.25" customHeight="1" x14ac:dyDescent="0.3">
      <c r="I58" s="11"/>
      <c r="K58" s="14" t="s">
        <v>90</v>
      </c>
      <c r="L58" s="15">
        <f t="shared" ref="L58:V58" si="12">AVERAGE(L52:L57)</f>
        <v>2.8666666666666667</v>
      </c>
      <c r="M58" s="15">
        <f t="shared" si="12"/>
        <v>191.33333333333334</v>
      </c>
      <c r="N58" s="15">
        <f t="shared" si="12"/>
        <v>14488.333333333334</v>
      </c>
      <c r="O58" s="15">
        <f t="shared" si="12"/>
        <v>-9.15</v>
      </c>
      <c r="P58" s="15">
        <f t="shared" si="12"/>
        <v>80.5</v>
      </c>
      <c r="Q58" s="15">
        <f t="shared" si="12"/>
        <v>824</v>
      </c>
      <c r="R58" s="15">
        <f t="shared" si="12"/>
        <v>1.5</v>
      </c>
      <c r="S58" s="15">
        <f t="shared" si="12"/>
        <v>423.5</v>
      </c>
      <c r="T58" s="15">
        <f t="shared" si="12"/>
        <v>450</v>
      </c>
      <c r="U58" s="15">
        <f t="shared" si="12"/>
        <v>0.2</v>
      </c>
      <c r="V58" s="16">
        <f t="shared" si="12"/>
        <v>3.0721450617283947E-2</v>
      </c>
    </row>
    <row r="59" spans="1:22" ht="14.25" customHeight="1" x14ac:dyDescent="0.3">
      <c r="I59" s="11"/>
      <c r="K59" s="13" t="s">
        <v>97</v>
      </c>
    </row>
    <row r="60" spans="1:22" ht="14.25" customHeight="1" x14ac:dyDescent="0.3">
      <c r="I60" s="11"/>
      <c r="K60" s="5" t="s">
        <v>85</v>
      </c>
      <c r="L60" s="5">
        <v>4.5</v>
      </c>
      <c r="M60" s="5">
        <v>163</v>
      </c>
      <c r="N60" s="5">
        <v>15090</v>
      </c>
      <c r="O60" s="5" t="s">
        <v>48</v>
      </c>
      <c r="P60" s="5" t="s">
        <v>48</v>
      </c>
      <c r="Q60" s="5" t="s">
        <v>48</v>
      </c>
      <c r="R60" s="5" t="s">
        <v>48</v>
      </c>
      <c r="S60" s="5">
        <v>416</v>
      </c>
      <c r="T60" s="5">
        <v>440</v>
      </c>
      <c r="U60" s="5">
        <v>-0.7</v>
      </c>
      <c r="V60" s="8">
        <v>3.1736111111111111E-2</v>
      </c>
    </row>
    <row r="61" spans="1:22" ht="14.25" customHeight="1" x14ac:dyDescent="0.3">
      <c r="I61" s="11"/>
      <c r="K61" s="5" t="s">
        <v>86</v>
      </c>
      <c r="L61" s="5">
        <v>4.4000000000000004</v>
      </c>
      <c r="M61" s="5">
        <v>163</v>
      </c>
      <c r="N61" s="5">
        <v>15090</v>
      </c>
      <c r="O61" s="5" t="s">
        <v>48</v>
      </c>
      <c r="P61" s="5" t="s">
        <v>48</v>
      </c>
      <c r="Q61" s="5" t="s">
        <v>48</v>
      </c>
      <c r="R61" s="5" t="s">
        <v>48</v>
      </c>
      <c r="S61" s="5">
        <v>416</v>
      </c>
      <c r="T61" s="5">
        <v>440</v>
      </c>
      <c r="U61" s="5">
        <v>-0.7</v>
      </c>
      <c r="V61" s="8">
        <v>3.1712962962962964E-2</v>
      </c>
    </row>
    <row r="62" spans="1:22" ht="14.25" customHeight="1" x14ac:dyDescent="0.3">
      <c r="I62" s="11"/>
      <c r="K62" s="5" t="s">
        <v>87</v>
      </c>
      <c r="L62" s="5">
        <v>4.5</v>
      </c>
      <c r="M62" s="5">
        <v>163</v>
      </c>
      <c r="N62" s="5">
        <v>15090</v>
      </c>
      <c r="O62" s="5" t="s">
        <v>48</v>
      </c>
      <c r="P62" s="5">
        <v>-1</v>
      </c>
      <c r="Q62" s="5" t="s">
        <v>48</v>
      </c>
      <c r="R62" s="5">
        <v>1.5</v>
      </c>
      <c r="S62" s="5" t="s">
        <v>48</v>
      </c>
      <c r="T62" s="5" t="s">
        <v>48</v>
      </c>
      <c r="U62" s="5" t="s">
        <v>48</v>
      </c>
      <c r="V62" s="8">
        <v>3.1793981481481479E-2</v>
      </c>
    </row>
    <row r="63" spans="1:22" ht="14.25" customHeight="1" x14ac:dyDescent="0.3">
      <c r="I63" s="11"/>
      <c r="K63" s="5" t="s">
        <v>88</v>
      </c>
      <c r="L63" s="5">
        <v>4.5</v>
      </c>
      <c r="M63" s="5">
        <v>163</v>
      </c>
      <c r="N63" s="5">
        <v>15090</v>
      </c>
      <c r="O63" s="5">
        <v>-12.3</v>
      </c>
      <c r="P63" s="5" t="s">
        <v>48</v>
      </c>
      <c r="Q63" s="5">
        <v>844</v>
      </c>
      <c r="R63" s="5" t="s">
        <v>48</v>
      </c>
      <c r="S63" s="5" t="s">
        <v>48</v>
      </c>
      <c r="T63" s="5" t="s">
        <v>48</v>
      </c>
      <c r="U63" s="5" t="s">
        <v>48</v>
      </c>
      <c r="V63" s="8">
        <v>3.1736111111111111E-2</v>
      </c>
    </row>
    <row r="64" spans="1:22" ht="14.25" customHeight="1" x14ac:dyDescent="0.3">
      <c r="I64" s="11"/>
      <c r="K64" s="5" t="s">
        <v>89</v>
      </c>
      <c r="L64" s="5">
        <v>4.5</v>
      </c>
      <c r="M64" s="5">
        <v>163</v>
      </c>
      <c r="N64" s="5">
        <v>15090</v>
      </c>
      <c r="O64" s="5">
        <v>-12.3</v>
      </c>
      <c r="P64" s="5">
        <v>-1</v>
      </c>
      <c r="Q64" s="5" t="s">
        <v>48</v>
      </c>
      <c r="R64" s="5" t="s">
        <v>48</v>
      </c>
      <c r="S64" s="5" t="s">
        <v>48</v>
      </c>
      <c r="T64" s="5" t="s">
        <v>48</v>
      </c>
      <c r="U64" s="5" t="s">
        <v>48</v>
      </c>
      <c r="V64" s="8">
        <v>3.1724537037037037E-2</v>
      </c>
    </row>
    <row r="65" spans="1:22" ht="14.25" customHeight="1" x14ac:dyDescent="0.3">
      <c r="I65" s="11"/>
      <c r="K65" s="5" t="s">
        <v>61</v>
      </c>
      <c r="L65" s="5">
        <v>4.5</v>
      </c>
      <c r="M65" s="5">
        <v>163</v>
      </c>
      <c r="N65" s="5">
        <v>15090</v>
      </c>
      <c r="O65" s="5" t="s">
        <v>48</v>
      </c>
      <c r="P65" s="5" t="s">
        <v>48</v>
      </c>
      <c r="Q65" s="5">
        <v>847</v>
      </c>
      <c r="R65" s="5">
        <v>1.5</v>
      </c>
      <c r="S65" s="5" t="s">
        <v>48</v>
      </c>
      <c r="T65" s="5" t="s">
        <v>48</v>
      </c>
      <c r="U65" s="5" t="s">
        <v>48</v>
      </c>
      <c r="V65" s="8">
        <v>3.1875000000000001E-2</v>
      </c>
    </row>
    <row r="66" spans="1:22" ht="14.25" customHeight="1" x14ac:dyDescent="0.3">
      <c r="I66" s="11"/>
      <c r="K66" s="14" t="s">
        <v>90</v>
      </c>
      <c r="L66" s="15">
        <f t="shared" ref="L66:N66" si="13">AVERAGE(L60:L65)</f>
        <v>4.4833333333333334</v>
      </c>
      <c r="M66" s="15">
        <f t="shared" si="13"/>
        <v>163</v>
      </c>
      <c r="N66" s="15">
        <f t="shared" si="13"/>
        <v>15090</v>
      </c>
      <c r="O66" s="15">
        <f>AVERAGE(O60:O65)</f>
        <v>-12.3</v>
      </c>
      <c r="P66" s="15">
        <f t="shared" ref="P66" si="14">AVERAGE(P60:P64)</f>
        <v>-1</v>
      </c>
      <c r="Q66" s="15">
        <f t="shared" ref="Q66:R66" si="15">AVERAGE(Q60:Q65)</f>
        <v>845.5</v>
      </c>
      <c r="R66" s="15">
        <f t="shared" si="15"/>
        <v>1.5</v>
      </c>
      <c r="S66" s="15">
        <f>AVERAGE(S60:S65)</f>
        <v>416</v>
      </c>
      <c r="T66" s="15">
        <f>AVERAGE(T60:T65)</f>
        <v>440</v>
      </c>
      <c r="U66" s="15">
        <f>AVERAGE(U60:U65)</f>
        <v>-0.7</v>
      </c>
      <c r="V66" s="16">
        <f>AVERAGE(V60:V65)</f>
        <v>3.176311728395062E-2</v>
      </c>
    </row>
    <row r="67" spans="1:22" ht="14.25" customHeight="1" x14ac:dyDescent="0.3">
      <c r="I67" s="11"/>
      <c r="J67" s="2" t="s">
        <v>98</v>
      </c>
      <c r="K67" s="13" t="s">
        <v>99</v>
      </c>
      <c r="V67" s="8"/>
    </row>
    <row r="68" spans="1:22" ht="14.25" customHeight="1" x14ac:dyDescent="0.3">
      <c r="I68" s="11"/>
      <c r="K68" s="5" t="s">
        <v>85</v>
      </c>
      <c r="L68" s="5">
        <v>4.5</v>
      </c>
      <c r="M68" s="5">
        <v>163</v>
      </c>
      <c r="N68" s="5">
        <v>15150</v>
      </c>
      <c r="O68" s="5" t="s">
        <v>48</v>
      </c>
      <c r="P68" s="5" t="s">
        <v>48</v>
      </c>
      <c r="Q68" s="5" t="s">
        <v>48</v>
      </c>
      <c r="R68" s="5" t="s">
        <v>48</v>
      </c>
      <c r="S68" s="5">
        <v>415</v>
      </c>
      <c r="T68" s="5">
        <v>439</v>
      </c>
      <c r="U68" s="5">
        <v>-1.2</v>
      </c>
      <c r="V68" s="8">
        <v>3.2696759259259259E-2</v>
      </c>
    </row>
    <row r="69" spans="1:22" ht="14.25" customHeight="1" x14ac:dyDescent="0.3">
      <c r="I69" s="11"/>
      <c r="K69" s="5" t="s">
        <v>86</v>
      </c>
      <c r="L69" s="5">
        <v>4.5999999999999996</v>
      </c>
      <c r="M69" s="5">
        <v>163</v>
      </c>
      <c r="N69" s="5">
        <v>15150</v>
      </c>
      <c r="O69" s="5" t="s">
        <v>48</v>
      </c>
      <c r="P69" s="5" t="s">
        <v>48</v>
      </c>
      <c r="Q69" s="5" t="s">
        <v>48</v>
      </c>
      <c r="R69" s="5" t="s">
        <v>48</v>
      </c>
      <c r="S69" s="5">
        <v>415</v>
      </c>
      <c r="T69" s="5">
        <v>439</v>
      </c>
      <c r="U69" s="5">
        <v>-1.2</v>
      </c>
      <c r="V69" s="8">
        <v>3.2708333333333332E-2</v>
      </c>
    </row>
    <row r="70" spans="1:22" ht="14.25" customHeight="1" x14ac:dyDescent="0.3">
      <c r="I70" s="11"/>
      <c r="K70" s="5" t="s">
        <v>87</v>
      </c>
      <c r="L70" s="5">
        <v>4.5999999999999996</v>
      </c>
      <c r="M70" s="5">
        <v>163</v>
      </c>
      <c r="N70" s="5">
        <v>15140</v>
      </c>
      <c r="O70" s="5" t="s">
        <v>48</v>
      </c>
      <c r="P70" s="5">
        <v>-24</v>
      </c>
      <c r="Q70" s="5" t="s">
        <v>48</v>
      </c>
      <c r="R70" s="5">
        <v>1.5</v>
      </c>
      <c r="S70" s="5" t="s">
        <v>48</v>
      </c>
      <c r="T70" s="5" t="s">
        <v>48</v>
      </c>
      <c r="U70" s="5" t="s">
        <v>48</v>
      </c>
      <c r="V70" s="8">
        <v>3.2731481481481479E-2</v>
      </c>
    </row>
    <row r="71" spans="1:22" ht="14.25" customHeight="1" x14ac:dyDescent="0.3">
      <c r="I71" s="11"/>
      <c r="K71" s="5" t="s">
        <v>88</v>
      </c>
      <c r="L71" s="5">
        <v>4.5</v>
      </c>
      <c r="M71" s="5">
        <v>163</v>
      </c>
      <c r="N71" s="5">
        <v>15130</v>
      </c>
      <c r="O71" s="5">
        <v>-12.3</v>
      </c>
      <c r="P71" s="5" t="s">
        <v>48</v>
      </c>
      <c r="Q71" s="5">
        <v>867</v>
      </c>
      <c r="R71" s="5" t="s">
        <v>48</v>
      </c>
      <c r="S71" s="5" t="s">
        <v>48</v>
      </c>
      <c r="T71" s="5" t="s">
        <v>48</v>
      </c>
      <c r="U71" s="5" t="s">
        <v>48</v>
      </c>
      <c r="V71" s="8">
        <v>3.2708333333333332E-2</v>
      </c>
    </row>
    <row r="72" spans="1:22" ht="14.25" customHeight="1" x14ac:dyDescent="0.3">
      <c r="I72" s="11"/>
      <c r="K72" s="5" t="s">
        <v>61</v>
      </c>
      <c r="L72" s="17" t="s">
        <v>100</v>
      </c>
      <c r="M72" s="18"/>
      <c r="N72" s="18"/>
      <c r="O72" s="18"/>
      <c r="P72" s="18"/>
      <c r="Q72" s="18"/>
      <c r="R72" s="18"/>
      <c r="S72" s="18"/>
      <c r="T72" s="18"/>
      <c r="U72" s="18"/>
      <c r="V72" s="18"/>
    </row>
    <row r="73" spans="1:22" ht="14.25" customHeight="1" x14ac:dyDescent="0.3">
      <c r="A73" s="1"/>
      <c r="B73" s="1"/>
      <c r="C73" s="1"/>
      <c r="D73" s="1"/>
      <c r="E73" s="1"/>
      <c r="F73" s="1"/>
      <c r="G73" s="1"/>
      <c r="H73" s="1"/>
      <c r="I73" s="12"/>
      <c r="J73" s="1"/>
      <c r="K73" s="5" t="s">
        <v>89</v>
      </c>
      <c r="L73" s="5">
        <v>4.5</v>
      </c>
      <c r="M73" s="5">
        <v>163</v>
      </c>
      <c r="N73" s="5">
        <v>15140</v>
      </c>
      <c r="O73" s="5">
        <v>-12.3</v>
      </c>
      <c r="P73" s="5">
        <v>-25</v>
      </c>
      <c r="Q73" s="5" t="s">
        <v>48</v>
      </c>
      <c r="R73" s="5" t="s">
        <v>48</v>
      </c>
      <c r="S73" s="5" t="s">
        <v>48</v>
      </c>
      <c r="T73" s="5" t="s">
        <v>48</v>
      </c>
      <c r="U73" s="5" t="s">
        <v>48</v>
      </c>
      <c r="V73" s="8">
        <v>3.2708333333333332E-2</v>
      </c>
    </row>
    <row r="74" spans="1:22" ht="14.25" customHeight="1" x14ac:dyDescent="0.3">
      <c r="I74" s="11"/>
      <c r="K74" s="14" t="s">
        <v>90</v>
      </c>
      <c r="L74" s="15">
        <f t="shared" ref="L74:N74" si="16">AVERAGE(L68:L73)</f>
        <v>4.54</v>
      </c>
      <c r="M74" s="15">
        <f t="shared" si="16"/>
        <v>163</v>
      </c>
      <c r="N74" s="15">
        <f t="shared" si="16"/>
        <v>15142</v>
      </c>
      <c r="O74" s="15">
        <f t="shared" ref="O74:P74" si="17">AVERAGE(O68:O72)</f>
        <v>-12.3</v>
      </c>
      <c r="P74" s="15">
        <f t="shared" si="17"/>
        <v>-24</v>
      </c>
      <c r="Q74" s="15">
        <f t="shared" ref="Q74:R74" si="18">AVERAGE(Q68:Q73)</f>
        <v>867</v>
      </c>
      <c r="R74" s="15">
        <f t="shared" si="18"/>
        <v>1.5</v>
      </c>
      <c r="S74" s="15">
        <f t="shared" ref="S74:U74" si="19">AVERAGE(S68:S72)</f>
        <v>415</v>
      </c>
      <c r="T74" s="15">
        <f t="shared" si="19"/>
        <v>439</v>
      </c>
      <c r="U74" s="15">
        <f t="shared" si="19"/>
        <v>-1.2</v>
      </c>
      <c r="V74" s="16">
        <f>AVERAGE(V68:V73)</f>
        <v>3.2710648148148148E-2</v>
      </c>
    </row>
    <row r="75" spans="1:22" ht="14.25" customHeight="1" x14ac:dyDescent="0.3">
      <c r="I75" s="11"/>
      <c r="V75" s="11"/>
    </row>
    <row r="76" spans="1:22" ht="14.25" customHeight="1" x14ac:dyDescent="0.3">
      <c r="I76" s="11"/>
      <c r="V76" s="11"/>
    </row>
    <row r="77" spans="1:22" ht="14.25" customHeight="1" x14ac:dyDescent="0.3">
      <c r="I77" s="11"/>
      <c r="V77" s="11"/>
    </row>
    <row r="78" spans="1:22" ht="14.25" customHeight="1" x14ac:dyDescent="0.3">
      <c r="I78" s="11"/>
      <c r="V78" s="11"/>
    </row>
    <row r="79" spans="1:22" ht="14.25" customHeight="1" x14ac:dyDescent="0.3">
      <c r="I79" s="11"/>
      <c r="V79" s="11"/>
    </row>
    <row r="80" spans="1:22" ht="14.25" customHeight="1" x14ac:dyDescent="0.3">
      <c r="I80" s="11"/>
      <c r="V80" s="11"/>
    </row>
    <row r="81" spans="9:22" ht="14.25" customHeight="1" x14ac:dyDescent="0.3">
      <c r="I81" s="11"/>
      <c r="V81" s="11"/>
    </row>
    <row r="82" spans="9:22" ht="14.25" customHeight="1" x14ac:dyDescent="0.3">
      <c r="I82" s="11"/>
      <c r="V82" s="11"/>
    </row>
    <row r="83" spans="9:22" ht="14.25" customHeight="1" x14ac:dyDescent="0.3">
      <c r="I83" s="11"/>
      <c r="V83" s="11"/>
    </row>
    <row r="84" spans="9:22" ht="14.25" customHeight="1" x14ac:dyDescent="0.3">
      <c r="I84" s="11"/>
      <c r="V84" s="11"/>
    </row>
    <row r="85" spans="9:22" ht="14.25" customHeight="1" x14ac:dyDescent="0.3">
      <c r="I85" s="11"/>
      <c r="V85" s="11"/>
    </row>
    <row r="86" spans="9:22" ht="14.25" customHeight="1" x14ac:dyDescent="0.3">
      <c r="I86" s="11"/>
      <c r="V86" s="11"/>
    </row>
    <row r="87" spans="9:22" ht="14.25" customHeight="1" x14ac:dyDescent="0.3">
      <c r="I87" s="11"/>
      <c r="V87" s="11"/>
    </row>
    <row r="88" spans="9:22" ht="14.25" customHeight="1" x14ac:dyDescent="0.3">
      <c r="I88" s="11"/>
      <c r="V88" s="11"/>
    </row>
    <row r="89" spans="9:22" ht="14.25" customHeight="1" x14ac:dyDescent="0.3">
      <c r="I89" s="11"/>
      <c r="V89" s="11"/>
    </row>
    <row r="90" spans="9:22" ht="14.25" customHeight="1" x14ac:dyDescent="0.3">
      <c r="I90" s="11"/>
      <c r="V90" s="11"/>
    </row>
    <row r="91" spans="9:22" ht="14.25" customHeight="1" x14ac:dyDescent="0.3">
      <c r="I91" s="11"/>
      <c r="V91" s="11"/>
    </row>
    <row r="92" spans="9:22" ht="14.25" customHeight="1" x14ac:dyDescent="0.3">
      <c r="I92" s="11"/>
      <c r="V92" s="11"/>
    </row>
    <row r="93" spans="9:22" ht="14.25" customHeight="1" x14ac:dyDescent="0.3">
      <c r="I93" s="11"/>
      <c r="V93" s="11"/>
    </row>
    <row r="94" spans="9:22" ht="14.25" customHeight="1" x14ac:dyDescent="0.3">
      <c r="I94" s="11"/>
      <c r="V94" s="11"/>
    </row>
    <row r="95" spans="9:22" ht="14.25" customHeight="1" x14ac:dyDescent="0.3">
      <c r="I95" s="11"/>
      <c r="V95" s="11"/>
    </row>
    <row r="96" spans="9:22" ht="14.25" customHeight="1" x14ac:dyDescent="0.3">
      <c r="I96" s="11"/>
      <c r="V96" s="11"/>
    </row>
    <row r="97" spans="9:22" ht="14.25" customHeight="1" x14ac:dyDescent="0.3">
      <c r="I97" s="11"/>
      <c r="V97" s="11"/>
    </row>
    <row r="98" spans="9:22" ht="14.25" customHeight="1" x14ac:dyDescent="0.3">
      <c r="I98" s="11"/>
      <c r="V98" s="11"/>
    </row>
    <row r="99" spans="9:22" ht="14.25" customHeight="1" x14ac:dyDescent="0.3">
      <c r="I99" s="11"/>
      <c r="V99" s="11"/>
    </row>
    <row r="100" spans="9:22" ht="14.25" customHeight="1" x14ac:dyDescent="0.3">
      <c r="I100" s="11"/>
      <c r="V100" s="11"/>
    </row>
    <row r="101" spans="9:22" ht="14.25" customHeight="1" x14ac:dyDescent="0.3">
      <c r="I101" s="11"/>
      <c r="V101" s="11"/>
    </row>
    <row r="102" spans="9:22" ht="14.25" customHeight="1" x14ac:dyDescent="0.3">
      <c r="I102" s="11"/>
      <c r="V102" s="11"/>
    </row>
    <row r="103" spans="9:22" ht="14.25" customHeight="1" x14ac:dyDescent="0.3">
      <c r="I103" s="11"/>
      <c r="V103" s="11"/>
    </row>
    <row r="104" spans="9:22" ht="14.25" customHeight="1" x14ac:dyDescent="0.3">
      <c r="I104" s="11"/>
      <c r="V104" s="11"/>
    </row>
    <row r="105" spans="9:22" ht="14.25" customHeight="1" x14ac:dyDescent="0.3">
      <c r="I105" s="11"/>
      <c r="V105" s="11"/>
    </row>
    <row r="106" spans="9:22" ht="14.25" customHeight="1" x14ac:dyDescent="0.3">
      <c r="I106" s="11"/>
      <c r="V106" s="11"/>
    </row>
    <row r="107" spans="9:22" ht="14.25" customHeight="1" x14ac:dyDescent="0.3">
      <c r="I107" s="11"/>
      <c r="V107" s="11"/>
    </row>
    <row r="108" spans="9:22" ht="14.25" customHeight="1" x14ac:dyDescent="0.3">
      <c r="I108" s="11"/>
      <c r="V108" s="11"/>
    </row>
    <row r="109" spans="9:22" ht="14.25" customHeight="1" x14ac:dyDescent="0.3">
      <c r="I109" s="11"/>
      <c r="V109" s="11"/>
    </row>
    <row r="110" spans="9:22" ht="14.25" customHeight="1" x14ac:dyDescent="0.3">
      <c r="I110" s="11"/>
      <c r="V110" s="11"/>
    </row>
    <row r="111" spans="9:22" ht="14.25" customHeight="1" x14ac:dyDescent="0.3">
      <c r="I111" s="11"/>
      <c r="V111" s="11"/>
    </row>
    <row r="112" spans="9:22" ht="14.25" customHeight="1" x14ac:dyDescent="0.3">
      <c r="I112" s="11"/>
      <c r="V112" s="11"/>
    </row>
    <row r="113" spans="9:22" ht="14.25" customHeight="1" x14ac:dyDescent="0.3">
      <c r="I113" s="11"/>
      <c r="V113" s="11"/>
    </row>
    <row r="114" spans="9:22" ht="14.25" customHeight="1" x14ac:dyDescent="0.3">
      <c r="I114" s="11"/>
      <c r="V114" s="11"/>
    </row>
    <row r="115" spans="9:22" ht="14.25" customHeight="1" x14ac:dyDescent="0.3">
      <c r="I115" s="11"/>
      <c r="V115" s="11"/>
    </row>
    <row r="116" spans="9:22" ht="14.25" customHeight="1" x14ac:dyDescent="0.3">
      <c r="I116" s="11"/>
      <c r="V116" s="11"/>
    </row>
    <row r="117" spans="9:22" ht="14.25" customHeight="1" x14ac:dyDescent="0.3">
      <c r="I117" s="11"/>
      <c r="V117" s="11"/>
    </row>
    <row r="118" spans="9:22" ht="14.25" customHeight="1" x14ac:dyDescent="0.3">
      <c r="I118" s="11"/>
      <c r="V118" s="11"/>
    </row>
    <row r="119" spans="9:22" ht="14.25" customHeight="1" x14ac:dyDescent="0.3">
      <c r="I119" s="11"/>
      <c r="V119" s="11"/>
    </row>
    <row r="120" spans="9:22" ht="14.25" customHeight="1" x14ac:dyDescent="0.3">
      <c r="I120" s="11"/>
      <c r="V120" s="11"/>
    </row>
    <row r="121" spans="9:22" ht="14.25" customHeight="1" x14ac:dyDescent="0.3">
      <c r="I121" s="11"/>
      <c r="V121" s="11"/>
    </row>
    <row r="122" spans="9:22" ht="14.25" customHeight="1" x14ac:dyDescent="0.3">
      <c r="I122" s="11"/>
      <c r="V122" s="11"/>
    </row>
    <row r="123" spans="9:22" ht="14.25" customHeight="1" x14ac:dyDescent="0.3">
      <c r="I123" s="11"/>
      <c r="V123" s="11"/>
    </row>
    <row r="124" spans="9:22" ht="14.25" customHeight="1" x14ac:dyDescent="0.3">
      <c r="I124" s="11"/>
      <c r="V124" s="11"/>
    </row>
    <row r="125" spans="9:22" ht="14.25" customHeight="1" x14ac:dyDescent="0.3">
      <c r="I125" s="11"/>
      <c r="V125" s="11"/>
    </row>
    <row r="126" spans="9:22" ht="14.25" customHeight="1" x14ac:dyDescent="0.3">
      <c r="I126" s="11"/>
      <c r="V126" s="11"/>
    </row>
    <row r="127" spans="9:22" ht="14.25" customHeight="1" x14ac:dyDescent="0.3">
      <c r="I127" s="11"/>
      <c r="V127" s="11"/>
    </row>
    <row r="128" spans="9:22" ht="14.25" customHeight="1" x14ac:dyDescent="0.3">
      <c r="I128" s="11"/>
      <c r="V128" s="11"/>
    </row>
    <row r="129" spans="9:22" ht="14.25" customHeight="1" x14ac:dyDescent="0.3">
      <c r="I129" s="11"/>
      <c r="V129" s="11"/>
    </row>
    <row r="130" spans="9:22" ht="14.25" customHeight="1" x14ac:dyDescent="0.3">
      <c r="I130" s="11"/>
      <c r="V130" s="11"/>
    </row>
    <row r="131" spans="9:22" ht="14.25" customHeight="1" x14ac:dyDescent="0.3">
      <c r="I131" s="11"/>
      <c r="V131" s="11"/>
    </row>
    <row r="132" spans="9:22" ht="14.25" customHeight="1" x14ac:dyDescent="0.3">
      <c r="I132" s="11"/>
      <c r="V132" s="11"/>
    </row>
    <row r="133" spans="9:22" ht="14.25" customHeight="1" x14ac:dyDescent="0.3">
      <c r="I133" s="11"/>
      <c r="V133" s="11"/>
    </row>
    <row r="134" spans="9:22" ht="14.25" customHeight="1" x14ac:dyDescent="0.3">
      <c r="I134" s="11"/>
      <c r="V134" s="11"/>
    </row>
    <row r="135" spans="9:22" ht="14.25" customHeight="1" x14ac:dyDescent="0.3">
      <c r="I135" s="11"/>
      <c r="V135" s="11"/>
    </row>
    <row r="136" spans="9:22" ht="14.25" customHeight="1" x14ac:dyDescent="0.3">
      <c r="I136" s="11"/>
      <c r="V136" s="11"/>
    </row>
    <row r="137" spans="9:22" ht="14.25" customHeight="1" x14ac:dyDescent="0.3">
      <c r="I137" s="11"/>
      <c r="V137" s="11"/>
    </row>
    <row r="138" spans="9:22" ht="14.25" customHeight="1" x14ac:dyDescent="0.3">
      <c r="I138" s="11"/>
      <c r="V138" s="11"/>
    </row>
    <row r="139" spans="9:22" ht="14.25" customHeight="1" x14ac:dyDescent="0.3">
      <c r="I139" s="11"/>
      <c r="V139" s="11"/>
    </row>
    <row r="140" spans="9:22" ht="14.25" customHeight="1" x14ac:dyDescent="0.3">
      <c r="I140" s="11"/>
      <c r="V140" s="11"/>
    </row>
    <row r="141" spans="9:22" ht="14.25" customHeight="1" x14ac:dyDescent="0.3">
      <c r="I141" s="11"/>
      <c r="V141" s="11"/>
    </row>
    <row r="142" spans="9:22" ht="14.25" customHeight="1" x14ac:dyDescent="0.3">
      <c r="I142" s="11"/>
      <c r="V142" s="11"/>
    </row>
    <row r="143" spans="9:22" ht="14.25" customHeight="1" x14ac:dyDescent="0.3">
      <c r="I143" s="11"/>
      <c r="V143" s="11"/>
    </row>
    <row r="144" spans="9:22" ht="14.25" customHeight="1" x14ac:dyDescent="0.3">
      <c r="I144" s="11"/>
      <c r="V144" s="11"/>
    </row>
    <row r="145" spans="9:22" ht="14.25" customHeight="1" x14ac:dyDescent="0.3">
      <c r="I145" s="11"/>
      <c r="V145" s="11"/>
    </row>
    <row r="146" spans="9:22" ht="14.25" customHeight="1" x14ac:dyDescent="0.3">
      <c r="I146" s="11"/>
      <c r="V146" s="11"/>
    </row>
    <row r="147" spans="9:22" ht="14.25" customHeight="1" x14ac:dyDescent="0.3">
      <c r="I147" s="11"/>
      <c r="V147" s="11"/>
    </row>
    <row r="148" spans="9:22" ht="14.25" customHeight="1" x14ac:dyDescent="0.3">
      <c r="I148" s="11"/>
      <c r="V148" s="11"/>
    </row>
    <row r="149" spans="9:22" ht="14.25" customHeight="1" x14ac:dyDescent="0.3">
      <c r="I149" s="11"/>
      <c r="V149" s="11"/>
    </row>
    <row r="150" spans="9:22" ht="14.25" customHeight="1" x14ac:dyDescent="0.3">
      <c r="I150" s="11"/>
      <c r="V150" s="11"/>
    </row>
    <row r="151" spans="9:22" ht="14.25" customHeight="1" x14ac:dyDescent="0.3">
      <c r="I151" s="11"/>
      <c r="V151" s="11"/>
    </row>
    <row r="152" spans="9:22" ht="14.25" customHeight="1" x14ac:dyDescent="0.3">
      <c r="I152" s="11"/>
      <c r="V152" s="11"/>
    </row>
    <row r="153" spans="9:22" ht="14.25" customHeight="1" x14ac:dyDescent="0.3">
      <c r="I153" s="11"/>
      <c r="V153" s="11"/>
    </row>
    <row r="154" spans="9:22" ht="14.25" customHeight="1" x14ac:dyDescent="0.3">
      <c r="I154" s="11"/>
      <c r="V154" s="11"/>
    </row>
    <row r="155" spans="9:22" ht="14.25" customHeight="1" x14ac:dyDescent="0.3">
      <c r="I155" s="11"/>
      <c r="V155" s="11"/>
    </row>
    <row r="156" spans="9:22" ht="14.25" customHeight="1" x14ac:dyDescent="0.3">
      <c r="I156" s="11"/>
      <c r="V156" s="11"/>
    </row>
    <row r="157" spans="9:22" ht="14.25" customHeight="1" x14ac:dyDescent="0.3">
      <c r="I157" s="11"/>
      <c r="V157" s="11"/>
    </row>
    <row r="158" spans="9:22" ht="14.25" customHeight="1" x14ac:dyDescent="0.3">
      <c r="I158" s="11"/>
      <c r="V158" s="11"/>
    </row>
    <row r="159" spans="9:22" ht="14.25" customHeight="1" x14ac:dyDescent="0.3">
      <c r="I159" s="11"/>
      <c r="V159" s="11"/>
    </row>
    <row r="160" spans="9:22" ht="14.25" customHeight="1" x14ac:dyDescent="0.3">
      <c r="I160" s="11"/>
      <c r="V160" s="11"/>
    </row>
    <row r="161" spans="9:22" ht="14.25" customHeight="1" x14ac:dyDescent="0.3">
      <c r="I161" s="11"/>
      <c r="V161" s="11"/>
    </row>
    <row r="162" spans="9:22" ht="14.25" customHeight="1" x14ac:dyDescent="0.3">
      <c r="I162" s="11"/>
      <c r="V162" s="11"/>
    </row>
    <row r="163" spans="9:22" ht="14.25" customHeight="1" x14ac:dyDescent="0.3">
      <c r="I163" s="11"/>
      <c r="V163" s="11"/>
    </row>
    <row r="164" spans="9:22" ht="14.25" customHeight="1" x14ac:dyDescent="0.3">
      <c r="I164" s="11"/>
      <c r="V164" s="11"/>
    </row>
    <row r="165" spans="9:22" ht="14.25" customHeight="1" x14ac:dyDescent="0.3">
      <c r="I165" s="11"/>
      <c r="V165" s="11"/>
    </row>
    <row r="166" spans="9:22" ht="14.25" customHeight="1" x14ac:dyDescent="0.3">
      <c r="I166" s="11"/>
      <c r="V166" s="11"/>
    </row>
    <row r="167" spans="9:22" ht="14.25" customHeight="1" x14ac:dyDescent="0.3">
      <c r="I167" s="11"/>
      <c r="V167" s="11"/>
    </row>
    <row r="168" spans="9:22" ht="14.25" customHeight="1" x14ac:dyDescent="0.3">
      <c r="I168" s="11"/>
      <c r="V168" s="11"/>
    </row>
    <row r="169" spans="9:22" ht="14.25" customHeight="1" x14ac:dyDescent="0.3">
      <c r="I169" s="11"/>
      <c r="V169" s="11"/>
    </row>
    <row r="170" spans="9:22" ht="14.25" customHeight="1" x14ac:dyDescent="0.3">
      <c r="I170" s="11"/>
      <c r="V170" s="11"/>
    </row>
    <row r="171" spans="9:22" ht="14.25" customHeight="1" x14ac:dyDescent="0.3">
      <c r="I171" s="11"/>
      <c r="V171" s="11"/>
    </row>
    <row r="172" spans="9:22" ht="14.25" customHeight="1" x14ac:dyDescent="0.3">
      <c r="I172" s="11"/>
      <c r="V172" s="11"/>
    </row>
    <row r="173" spans="9:22" ht="14.25" customHeight="1" x14ac:dyDescent="0.3">
      <c r="I173" s="11"/>
      <c r="V173" s="11"/>
    </row>
    <row r="174" spans="9:22" ht="14.25" customHeight="1" x14ac:dyDescent="0.3">
      <c r="I174" s="11"/>
      <c r="V174" s="11"/>
    </row>
    <row r="175" spans="9:22" ht="14.25" customHeight="1" x14ac:dyDescent="0.3">
      <c r="I175" s="11"/>
      <c r="V175" s="11"/>
    </row>
    <row r="176" spans="9:22" ht="14.25" customHeight="1" x14ac:dyDescent="0.3">
      <c r="I176" s="11"/>
      <c r="V176" s="11"/>
    </row>
    <row r="177" spans="9:22" ht="14.25" customHeight="1" x14ac:dyDescent="0.3">
      <c r="I177" s="11"/>
      <c r="V177" s="11"/>
    </row>
    <row r="178" spans="9:22" ht="14.25" customHeight="1" x14ac:dyDescent="0.3">
      <c r="I178" s="11"/>
      <c r="V178" s="11"/>
    </row>
    <row r="179" spans="9:22" ht="14.25" customHeight="1" x14ac:dyDescent="0.3">
      <c r="I179" s="11"/>
      <c r="V179" s="11"/>
    </row>
    <row r="180" spans="9:22" ht="14.25" customHeight="1" x14ac:dyDescent="0.3">
      <c r="I180" s="11"/>
      <c r="V180" s="11"/>
    </row>
    <row r="181" spans="9:22" ht="14.25" customHeight="1" x14ac:dyDescent="0.3">
      <c r="I181" s="11"/>
      <c r="V181" s="11"/>
    </row>
    <row r="182" spans="9:22" ht="14.25" customHeight="1" x14ac:dyDescent="0.3">
      <c r="I182" s="11"/>
      <c r="V182" s="11"/>
    </row>
    <row r="183" spans="9:22" ht="14.25" customHeight="1" x14ac:dyDescent="0.3">
      <c r="I183" s="11"/>
      <c r="V183" s="11"/>
    </row>
    <row r="184" spans="9:22" ht="14.25" customHeight="1" x14ac:dyDescent="0.3">
      <c r="I184" s="11"/>
      <c r="V184" s="11"/>
    </row>
    <row r="185" spans="9:22" ht="14.25" customHeight="1" x14ac:dyDescent="0.3">
      <c r="I185" s="11"/>
      <c r="V185" s="11"/>
    </row>
    <row r="186" spans="9:22" ht="14.25" customHeight="1" x14ac:dyDescent="0.3">
      <c r="I186" s="11"/>
      <c r="V186" s="11"/>
    </row>
    <row r="187" spans="9:22" ht="14.25" customHeight="1" x14ac:dyDescent="0.3">
      <c r="I187" s="11"/>
      <c r="V187" s="11"/>
    </row>
    <row r="188" spans="9:22" ht="14.25" customHeight="1" x14ac:dyDescent="0.3">
      <c r="I188" s="11"/>
      <c r="V188" s="11"/>
    </row>
    <row r="189" spans="9:22" ht="14.25" customHeight="1" x14ac:dyDescent="0.3">
      <c r="I189" s="11"/>
      <c r="V189" s="11"/>
    </row>
    <row r="190" spans="9:22" ht="14.25" customHeight="1" x14ac:dyDescent="0.3">
      <c r="I190" s="11"/>
      <c r="V190" s="11"/>
    </row>
    <row r="191" spans="9:22" ht="14.25" customHeight="1" x14ac:dyDescent="0.3">
      <c r="I191" s="11"/>
      <c r="V191" s="11"/>
    </row>
    <row r="192" spans="9:22" ht="14.25" customHeight="1" x14ac:dyDescent="0.3">
      <c r="I192" s="11"/>
      <c r="V192" s="11"/>
    </row>
    <row r="193" spans="9:22" ht="14.25" customHeight="1" x14ac:dyDescent="0.3">
      <c r="I193" s="11"/>
      <c r="V193" s="11"/>
    </row>
    <row r="194" spans="9:22" ht="14.25" customHeight="1" x14ac:dyDescent="0.3">
      <c r="I194" s="11"/>
      <c r="V194" s="11"/>
    </row>
    <row r="195" spans="9:22" ht="14.25" customHeight="1" x14ac:dyDescent="0.3">
      <c r="I195" s="11"/>
      <c r="V195" s="11"/>
    </row>
    <row r="196" spans="9:22" ht="14.25" customHeight="1" x14ac:dyDescent="0.3">
      <c r="I196" s="11"/>
      <c r="V196" s="11"/>
    </row>
    <row r="197" spans="9:22" ht="14.25" customHeight="1" x14ac:dyDescent="0.3">
      <c r="I197" s="11"/>
      <c r="V197" s="11"/>
    </row>
    <row r="198" spans="9:22" ht="14.25" customHeight="1" x14ac:dyDescent="0.3">
      <c r="I198" s="11"/>
      <c r="V198" s="11"/>
    </row>
    <row r="199" spans="9:22" ht="14.25" customHeight="1" x14ac:dyDescent="0.3">
      <c r="I199" s="11"/>
      <c r="V199" s="11"/>
    </row>
    <row r="200" spans="9:22" ht="14.25" customHeight="1" x14ac:dyDescent="0.3">
      <c r="I200" s="11"/>
      <c r="V200" s="11"/>
    </row>
    <row r="201" spans="9:22" ht="14.25" customHeight="1" x14ac:dyDescent="0.3">
      <c r="I201" s="11"/>
      <c r="V201" s="11"/>
    </row>
    <row r="202" spans="9:22" ht="14.25" customHeight="1" x14ac:dyDescent="0.3">
      <c r="I202" s="11"/>
      <c r="V202" s="11"/>
    </row>
    <row r="203" spans="9:22" ht="14.25" customHeight="1" x14ac:dyDescent="0.3">
      <c r="I203" s="11"/>
      <c r="V203" s="11"/>
    </row>
    <row r="204" spans="9:22" ht="14.25" customHeight="1" x14ac:dyDescent="0.3">
      <c r="I204" s="11"/>
      <c r="V204" s="11"/>
    </row>
    <row r="205" spans="9:22" ht="14.25" customHeight="1" x14ac:dyDescent="0.3">
      <c r="I205" s="11"/>
      <c r="V205" s="11"/>
    </row>
    <row r="206" spans="9:22" ht="14.25" customHeight="1" x14ac:dyDescent="0.3">
      <c r="I206" s="11"/>
      <c r="V206" s="11"/>
    </row>
    <row r="207" spans="9:22" ht="14.25" customHeight="1" x14ac:dyDescent="0.3">
      <c r="I207" s="11"/>
      <c r="V207" s="11"/>
    </row>
    <row r="208" spans="9:22" ht="14.25" customHeight="1" x14ac:dyDescent="0.3">
      <c r="I208" s="11"/>
      <c r="V208" s="11"/>
    </row>
    <row r="209" spans="9:22" ht="14.25" customHeight="1" x14ac:dyDescent="0.3">
      <c r="I209" s="11"/>
      <c r="V209" s="11"/>
    </row>
    <row r="210" spans="9:22" ht="14.25" customHeight="1" x14ac:dyDescent="0.3">
      <c r="I210" s="11"/>
      <c r="V210" s="11"/>
    </row>
    <row r="211" spans="9:22" ht="14.25" customHeight="1" x14ac:dyDescent="0.3">
      <c r="I211" s="11"/>
      <c r="V211" s="11"/>
    </row>
    <row r="212" spans="9:22" ht="14.25" customHeight="1" x14ac:dyDescent="0.3">
      <c r="I212" s="11"/>
      <c r="V212" s="11"/>
    </row>
    <row r="213" spans="9:22" ht="14.25" customHeight="1" x14ac:dyDescent="0.3">
      <c r="I213" s="11"/>
      <c r="V213" s="11"/>
    </row>
    <row r="214" spans="9:22" ht="14.25" customHeight="1" x14ac:dyDescent="0.3">
      <c r="I214" s="11"/>
      <c r="V214" s="11"/>
    </row>
    <row r="215" spans="9:22" ht="14.25" customHeight="1" x14ac:dyDescent="0.3">
      <c r="I215" s="11"/>
      <c r="V215" s="11"/>
    </row>
    <row r="216" spans="9:22" ht="14.25" customHeight="1" x14ac:dyDescent="0.3">
      <c r="I216" s="11"/>
      <c r="V216" s="11"/>
    </row>
    <row r="217" spans="9:22" ht="14.25" customHeight="1" x14ac:dyDescent="0.3">
      <c r="I217" s="11"/>
      <c r="V217" s="11"/>
    </row>
    <row r="218" spans="9:22" ht="14.25" customHeight="1" x14ac:dyDescent="0.3">
      <c r="I218" s="11"/>
      <c r="V218" s="11"/>
    </row>
    <row r="219" spans="9:22" ht="14.25" customHeight="1" x14ac:dyDescent="0.3">
      <c r="I219" s="11"/>
      <c r="V219" s="11"/>
    </row>
    <row r="220" spans="9:22" ht="14.25" customHeight="1" x14ac:dyDescent="0.3">
      <c r="I220" s="11"/>
      <c r="V220" s="11"/>
    </row>
    <row r="221" spans="9:22" ht="14.25" customHeight="1" x14ac:dyDescent="0.3">
      <c r="I221" s="11"/>
      <c r="V221" s="11"/>
    </row>
    <row r="222" spans="9:22" ht="14.25" customHeight="1" x14ac:dyDescent="0.3">
      <c r="I222" s="11"/>
      <c r="V222" s="11"/>
    </row>
    <row r="223" spans="9:22" ht="14.25" customHeight="1" x14ac:dyDescent="0.3">
      <c r="I223" s="11"/>
      <c r="V223" s="11"/>
    </row>
    <row r="224" spans="9:22" ht="14.25" customHeight="1" x14ac:dyDescent="0.3">
      <c r="I224" s="11"/>
      <c r="V224" s="11"/>
    </row>
    <row r="225" spans="9:22" ht="14.25" customHeight="1" x14ac:dyDescent="0.3">
      <c r="I225" s="11"/>
      <c r="V225" s="11"/>
    </row>
    <row r="226" spans="9:22" ht="14.25" customHeight="1" x14ac:dyDescent="0.3">
      <c r="I226" s="11"/>
      <c r="V226" s="11"/>
    </row>
    <row r="227" spans="9:22" ht="14.25" customHeight="1" x14ac:dyDescent="0.3">
      <c r="I227" s="11"/>
      <c r="V227" s="11"/>
    </row>
    <row r="228" spans="9:22" ht="14.25" customHeight="1" x14ac:dyDescent="0.3">
      <c r="I228" s="11"/>
      <c r="V228" s="11"/>
    </row>
    <row r="229" spans="9:22" ht="14.25" customHeight="1" x14ac:dyDescent="0.3">
      <c r="I229" s="11"/>
      <c r="V229" s="11"/>
    </row>
    <row r="230" spans="9:22" ht="14.25" customHeight="1" x14ac:dyDescent="0.3">
      <c r="I230" s="11"/>
      <c r="V230" s="11"/>
    </row>
    <row r="231" spans="9:22" ht="14.25" customHeight="1" x14ac:dyDescent="0.3">
      <c r="I231" s="11"/>
      <c r="V231" s="11"/>
    </row>
    <row r="232" spans="9:22" ht="14.25" customHeight="1" x14ac:dyDescent="0.3">
      <c r="I232" s="11"/>
      <c r="V232" s="11"/>
    </row>
    <row r="233" spans="9:22" ht="14.25" customHeight="1" x14ac:dyDescent="0.3">
      <c r="I233" s="11"/>
      <c r="V233" s="11"/>
    </row>
    <row r="234" spans="9:22" ht="14.25" customHeight="1" x14ac:dyDescent="0.3">
      <c r="I234" s="11"/>
      <c r="V234" s="11"/>
    </row>
    <row r="235" spans="9:22" ht="14.25" customHeight="1" x14ac:dyDescent="0.3">
      <c r="I235" s="11"/>
      <c r="V235" s="11"/>
    </row>
    <row r="236" spans="9:22" ht="14.25" customHeight="1" x14ac:dyDescent="0.3">
      <c r="I236" s="11"/>
      <c r="V236" s="11"/>
    </row>
    <row r="237" spans="9:22" ht="14.25" customHeight="1" x14ac:dyDescent="0.3">
      <c r="I237" s="11"/>
      <c r="V237" s="11"/>
    </row>
    <row r="238" spans="9:22" ht="14.25" customHeight="1" x14ac:dyDescent="0.3">
      <c r="I238" s="11"/>
      <c r="V238" s="11"/>
    </row>
    <row r="239" spans="9:22" ht="14.25" customHeight="1" x14ac:dyDescent="0.3">
      <c r="I239" s="11"/>
      <c r="V239" s="11"/>
    </row>
    <row r="240" spans="9:22" ht="14.25" customHeight="1" x14ac:dyDescent="0.3">
      <c r="I240" s="11"/>
      <c r="V240" s="11"/>
    </row>
    <row r="241" spans="9:22" ht="14.25" customHeight="1" x14ac:dyDescent="0.3">
      <c r="I241" s="11"/>
      <c r="V241" s="11"/>
    </row>
    <row r="242" spans="9:22" ht="14.25" customHeight="1" x14ac:dyDescent="0.3">
      <c r="I242" s="11"/>
      <c r="V242" s="11"/>
    </row>
    <row r="243" spans="9:22" ht="14.25" customHeight="1" x14ac:dyDescent="0.3">
      <c r="I243" s="11"/>
      <c r="V243" s="11"/>
    </row>
    <row r="244" spans="9:22" ht="14.25" customHeight="1" x14ac:dyDescent="0.3">
      <c r="I244" s="11"/>
      <c r="V244" s="11"/>
    </row>
    <row r="245" spans="9:22" ht="14.25" customHeight="1" x14ac:dyDescent="0.3">
      <c r="I245" s="11"/>
      <c r="V245" s="11"/>
    </row>
    <row r="246" spans="9:22" ht="14.25" customHeight="1" x14ac:dyDescent="0.3">
      <c r="I246" s="11"/>
      <c r="V246" s="11"/>
    </row>
    <row r="247" spans="9:22" ht="14.25" customHeight="1" x14ac:dyDescent="0.3">
      <c r="I247" s="11"/>
      <c r="V247" s="11"/>
    </row>
    <row r="248" spans="9:22" ht="14.25" customHeight="1" x14ac:dyDescent="0.3">
      <c r="I248" s="11"/>
      <c r="V248" s="11"/>
    </row>
    <row r="249" spans="9:22" ht="14.25" customHeight="1" x14ac:dyDescent="0.3">
      <c r="I249" s="11"/>
      <c r="V249" s="11"/>
    </row>
    <row r="250" spans="9:22" ht="14.25" customHeight="1" x14ac:dyDescent="0.3">
      <c r="I250" s="11"/>
      <c r="V250" s="11"/>
    </row>
    <row r="251" spans="9:22" ht="14.25" customHeight="1" x14ac:dyDescent="0.3">
      <c r="I251" s="11"/>
      <c r="V251" s="11"/>
    </row>
    <row r="252" spans="9:22" ht="14.25" customHeight="1" x14ac:dyDescent="0.3">
      <c r="I252" s="11"/>
      <c r="V252" s="11"/>
    </row>
    <row r="253" spans="9:22" ht="14.25" customHeight="1" x14ac:dyDescent="0.3">
      <c r="I253" s="11"/>
      <c r="V253" s="11"/>
    </row>
    <row r="254" spans="9:22" ht="14.25" customHeight="1" x14ac:dyDescent="0.3">
      <c r="I254" s="11"/>
      <c r="V254" s="11"/>
    </row>
    <row r="255" spans="9:22" ht="14.25" customHeight="1" x14ac:dyDescent="0.3">
      <c r="I255" s="11"/>
      <c r="V255" s="11"/>
    </row>
    <row r="256" spans="9:22" ht="14.25" customHeight="1" x14ac:dyDescent="0.3">
      <c r="I256" s="11"/>
      <c r="V256" s="11"/>
    </row>
    <row r="257" spans="9:22" ht="14.25" customHeight="1" x14ac:dyDescent="0.3">
      <c r="I257" s="11"/>
      <c r="V257" s="11"/>
    </row>
    <row r="258" spans="9:22" ht="14.25" customHeight="1" x14ac:dyDescent="0.3">
      <c r="I258" s="11"/>
      <c r="V258" s="11"/>
    </row>
    <row r="259" spans="9:22" ht="14.25" customHeight="1" x14ac:dyDescent="0.3">
      <c r="I259" s="11"/>
      <c r="V259" s="11"/>
    </row>
    <row r="260" spans="9:22" ht="14.25" customHeight="1" x14ac:dyDescent="0.3">
      <c r="I260" s="11"/>
      <c r="V260" s="11"/>
    </row>
    <row r="261" spans="9:22" ht="14.25" customHeight="1" x14ac:dyDescent="0.3">
      <c r="I261" s="11"/>
      <c r="V261" s="11"/>
    </row>
    <row r="262" spans="9:22" ht="14.25" customHeight="1" x14ac:dyDescent="0.3">
      <c r="I262" s="11"/>
      <c r="V262" s="11"/>
    </row>
    <row r="263" spans="9:22" ht="14.25" customHeight="1" x14ac:dyDescent="0.3">
      <c r="I263" s="11"/>
      <c r="V263" s="11"/>
    </row>
    <row r="264" spans="9:22" ht="14.25" customHeight="1" x14ac:dyDescent="0.3">
      <c r="I264" s="11"/>
      <c r="V264" s="11"/>
    </row>
    <row r="265" spans="9:22" ht="14.25" customHeight="1" x14ac:dyDescent="0.3">
      <c r="I265" s="11"/>
      <c r="V265" s="11"/>
    </row>
    <row r="266" spans="9:22" ht="14.25" customHeight="1" x14ac:dyDescent="0.3">
      <c r="I266" s="11"/>
      <c r="V266" s="11"/>
    </row>
    <row r="267" spans="9:22" ht="14.25" customHeight="1" x14ac:dyDescent="0.3">
      <c r="I267" s="11"/>
      <c r="V267" s="11"/>
    </row>
    <row r="268" spans="9:22" ht="14.25" customHeight="1" x14ac:dyDescent="0.3">
      <c r="I268" s="11"/>
      <c r="V268" s="11"/>
    </row>
    <row r="269" spans="9:22" ht="14.25" customHeight="1" x14ac:dyDescent="0.3">
      <c r="I269" s="11"/>
      <c r="V269" s="11"/>
    </row>
    <row r="270" spans="9:22" ht="14.25" customHeight="1" x14ac:dyDescent="0.3">
      <c r="I270" s="11"/>
      <c r="V270" s="11"/>
    </row>
    <row r="271" spans="9:22" ht="14.25" customHeight="1" x14ac:dyDescent="0.3">
      <c r="I271" s="11"/>
      <c r="V271" s="11"/>
    </row>
    <row r="272" spans="9:22" ht="14.25" customHeight="1" x14ac:dyDescent="0.3">
      <c r="I272" s="11"/>
      <c r="V272" s="11"/>
    </row>
    <row r="273" spans="9:22" ht="14.25" customHeight="1" x14ac:dyDescent="0.3">
      <c r="I273" s="11"/>
      <c r="V273" s="11"/>
    </row>
    <row r="274" spans="9:22" ht="14.25" customHeight="1" x14ac:dyDescent="0.3">
      <c r="I274" s="11"/>
      <c r="V274" s="11"/>
    </row>
    <row r="275" spans="9:22" ht="14.25" customHeight="1" x14ac:dyDescent="0.3">
      <c r="I275" s="11"/>
      <c r="V275" s="11"/>
    </row>
    <row r="276" spans="9:22" ht="14.25" customHeight="1" x14ac:dyDescent="0.3">
      <c r="I276" s="11"/>
      <c r="V276" s="11"/>
    </row>
    <row r="277" spans="9:22" ht="14.25" customHeight="1" x14ac:dyDescent="0.3">
      <c r="I277" s="11"/>
      <c r="V277" s="11"/>
    </row>
    <row r="278" spans="9:22" ht="14.25" customHeight="1" x14ac:dyDescent="0.3">
      <c r="I278" s="11"/>
      <c r="V278" s="11"/>
    </row>
    <row r="279" spans="9:22" ht="14.25" customHeight="1" x14ac:dyDescent="0.3">
      <c r="I279" s="11"/>
      <c r="V279" s="11"/>
    </row>
    <row r="280" spans="9:22" ht="14.25" customHeight="1" x14ac:dyDescent="0.3">
      <c r="I280" s="11"/>
      <c r="V280" s="11"/>
    </row>
    <row r="281" spans="9:22" ht="14.25" customHeight="1" x14ac:dyDescent="0.3">
      <c r="I281" s="11"/>
      <c r="V281" s="11"/>
    </row>
    <row r="282" spans="9:22" ht="14.25" customHeight="1" x14ac:dyDescent="0.3">
      <c r="I282" s="11"/>
      <c r="V282" s="11"/>
    </row>
    <row r="283" spans="9:22" ht="14.25" customHeight="1" x14ac:dyDescent="0.3">
      <c r="I283" s="11"/>
      <c r="V283" s="11"/>
    </row>
    <row r="284" spans="9:22" ht="14.25" customHeight="1" x14ac:dyDescent="0.3">
      <c r="I284" s="11"/>
      <c r="V284" s="11"/>
    </row>
    <row r="285" spans="9:22" ht="14.25" customHeight="1" x14ac:dyDescent="0.3">
      <c r="I285" s="11"/>
      <c r="V285" s="11"/>
    </row>
    <row r="286" spans="9:22" ht="14.25" customHeight="1" x14ac:dyDescent="0.3">
      <c r="I286" s="11"/>
      <c r="V286" s="11"/>
    </row>
    <row r="287" spans="9:22" ht="14.25" customHeight="1" x14ac:dyDescent="0.3">
      <c r="I287" s="11"/>
      <c r="V287" s="11"/>
    </row>
    <row r="288" spans="9:22" ht="14.25" customHeight="1" x14ac:dyDescent="0.3">
      <c r="I288" s="11"/>
      <c r="V288" s="11"/>
    </row>
    <row r="289" spans="9:22" ht="14.25" customHeight="1" x14ac:dyDescent="0.3">
      <c r="I289" s="11"/>
      <c r="V289" s="11"/>
    </row>
    <row r="290" spans="9:22" ht="14.25" customHeight="1" x14ac:dyDescent="0.3">
      <c r="I290" s="11"/>
      <c r="V290" s="11"/>
    </row>
    <row r="291" spans="9:22" ht="14.25" customHeight="1" x14ac:dyDescent="0.3">
      <c r="I291" s="11"/>
      <c r="V291" s="11"/>
    </row>
    <row r="292" spans="9:22" ht="14.25" customHeight="1" x14ac:dyDescent="0.3">
      <c r="I292" s="11"/>
      <c r="V292" s="11"/>
    </row>
    <row r="293" spans="9:22" ht="14.25" customHeight="1" x14ac:dyDescent="0.3">
      <c r="I293" s="11"/>
      <c r="V293" s="11"/>
    </row>
    <row r="294" spans="9:22" ht="14.25" customHeight="1" x14ac:dyDescent="0.3">
      <c r="I294" s="11"/>
      <c r="V294" s="11"/>
    </row>
    <row r="295" spans="9:22" ht="14.25" customHeight="1" x14ac:dyDescent="0.3">
      <c r="I295" s="11"/>
      <c r="V295" s="11"/>
    </row>
    <row r="296" spans="9:22" ht="14.25" customHeight="1" x14ac:dyDescent="0.3">
      <c r="I296" s="11"/>
      <c r="V296" s="11"/>
    </row>
    <row r="297" spans="9:22" ht="14.25" customHeight="1" x14ac:dyDescent="0.3">
      <c r="I297" s="11"/>
      <c r="V297" s="11"/>
    </row>
    <row r="298" spans="9:22" ht="14.25" customHeight="1" x14ac:dyDescent="0.3">
      <c r="I298" s="11"/>
      <c r="V298" s="11"/>
    </row>
    <row r="299" spans="9:22" ht="14.25" customHeight="1" x14ac:dyDescent="0.3">
      <c r="I299" s="11"/>
      <c r="V299" s="11"/>
    </row>
    <row r="300" spans="9:22" ht="14.25" customHeight="1" x14ac:dyDescent="0.3">
      <c r="I300" s="11"/>
      <c r="V300" s="11"/>
    </row>
    <row r="301" spans="9:22" ht="14.25" customHeight="1" x14ac:dyDescent="0.3">
      <c r="I301" s="11"/>
      <c r="V301" s="11"/>
    </row>
    <row r="302" spans="9:22" ht="14.25" customHeight="1" x14ac:dyDescent="0.3">
      <c r="I302" s="11"/>
      <c r="V302" s="11"/>
    </row>
    <row r="303" spans="9:22" ht="14.25" customHeight="1" x14ac:dyDescent="0.3">
      <c r="I303" s="11"/>
      <c r="V303" s="11"/>
    </row>
    <row r="304" spans="9:22" ht="14.25" customHeight="1" x14ac:dyDescent="0.3">
      <c r="I304" s="11"/>
      <c r="V304" s="11"/>
    </row>
    <row r="305" spans="9:22" ht="14.25" customHeight="1" x14ac:dyDescent="0.3">
      <c r="I305" s="11"/>
      <c r="V305" s="11"/>
    </row>
    <row r="306" spans="9:22" ht="14.25" customHeight="1" x14ac:dyDescent="0.3">
      <c r="I306" s="11"/>
      <c r="V306" s="11"/>
    </row>
    <row r="307" spans="9:22" ht="14.25" customHeight="1" x14ac:dyDescent="0.3">
      <c r="I307" s="11"/>
      <c r="V307" s="11"/>
    </row>
    <row r="308" spans="9:22" ht="14.25" customHeight="1" x14ac:dyDescent="0.3">
      <c r="I308" s="11"/>
      <c r="V308" s="11"/>
    </row>
    <row r="309" spans="9:22" ht="14.25" customHeight="1" x14ac:dyDescent="0.3">
      <c r="I309" s="11"/>
      <c r="V309" s="11"/>
    </row>
    <row r="310" spans="9:22" ht="14.25" customHeight="1" x14ac:dyDescent="0.3">
      <c r="I310" s="11"/>
      <c r="V310" s="11"/>
    </row>
    <row r="311" spans="9:22" ht="14.25" customHeight="1" x14ac:dyDescent="0.3">
      <c r="I311" s="11"/>
      <c r="V311" s="11"/>
    </row>
    <row r="312" spans="9:22" ht="14.25" customHeight="1" x14ac:dyDescent="0.3">
      <c r="I312" s="11"/>
      <c r="V312" s="11"/>
    </row>
    <row r="313" spans="9:22" ht="14.25" customHeight="1" x14ac:dyDescent="0.3">
      <c r="I313" s="11"/>
      <c r="V313" s="11"/>
    </row>
    <row r="314" spans="9:22" ht="14.25" customHeight="1" x14ac:dyDescent="0.3">
      <c r="I314" s="11"/>
      <c r="V314" s="11"/>
    </row>
    <row r="315" spans="9:22" ht="14.25" customHeight="1" x14ac:dyDescent="0.3">
      <c r="I315" s="11"/>
      <c r="V315" s="11"/>
    </row>
    <row r="316" spans="9:22" ht="14.25" customHeight="1" x14ac:dyDescent="0.3">
      <c r="I316" s="11"/>
      <c r="V316" s="11"/>
    </row>
    <row r="317" spans="9:22" ht="14.25" customHeight="1" x14ac:dyDescent="0.3">
      <c r="I317" s="11"/>
      <c r="V317" s="11"/>
    </row>
    <row r="318" spans="9:22" ht="14.25" customHeight="1" x14ac:dyDescent="0.3">
      <c r="I318" s="11"/>
      <c r="V318" s="11"/>
    </row>
    <row r="319" spans="9:22" ht="14.25" customHeight="1" x14ac:dyDescent="0.3">
      <c r="I319" s="11"/>
      <c r="V319" s="11"/>
    </row>
    <row r="320" spans="9:22" ht="14.25" customHeight="1" x14ac:dyDescent="0.3">
      <c r="I320" s="11"/>
      <c r="V320" s="11"/>
    </row>
    <row r="321" spans="9:22" ht="14.25" customHeight="1" x14ac:dyDescent="0.3">
      <c r="I321" s="11"/>
      <c r="V321" s="11"/>
    </row>
    <row r="322" spans="9:22" ht="14.25" customHeight="1" x14ac:dyDescent="0.3">
      <c r="I322" s="11"/>
      <c r="V322" s="11"/>
    </row>
    <row r="323" spans="9:22" ht="14.25" customHeight="1" x14ac:dyDescent="0.3">
      <c r="I323" s="11"/>
      <c r="V323" s="11"/>
    </row>
    <row r="324" spans="9:22" ht="14.25" customHeight="1" x14ac:dyDescent="0.3">
      <c r="I324" s="11"/>
      <c r="V324" s="11"/>
    </row>
    <row r="325" spans="9:22" ht="14.25" customHeight="1" x14ac:dyDescent="0.3">
      <c r="I325" s="11"/>
      <c r="V325" s="11"/>
    </row>
    <row r="326" spans="9:22" ht="14.25" customHeight="1" x14ac:dyDescent="0.3">
      <c r="I326" s="11"/>
      <c r="V326" s="11"/>
    </row>
    <row r="327" spans="9:22" ht="14.25" customHeight="1" x14ac:dyDescent="0.3">
      <c r="I327" s="11"/>
      <c r="V327" s="11"/>
    </row>
    <row r="328" spans="9:22" ht="14.25" customHeight="1" x14ac:dyDescent="0.3">
      <c r="I328" s="11"/>
      <c r="V328" s="11"/>
    </row>
    <row r="329" spans="9:22" ht="14.25" customHeight="1" x14ac:dyDescent="0.3">
      <c r="I329" s="11"/>
      <c r="V329" s="11"/>
    </row>
    <row r="330" spans="9:22" ht="14.25" customHeight="1" x14ac:dyDescent="0.3">
      <c r="I330" s="11"/>
      <c r="V330" s="11"/>
    </row>
    <row r="331" spans="9:22" ht="14.25" customHeight="1" x14ac:dyDescent="0.3">
      <c r="I331" s="11"/>
      <c r="V331" s="11"/>
    </row>
    <row r="332" spans="9:22" ht="14.25" customHeight="1" x14ac:dyDescent="0.3">
      <c r="I332" s="11"/>
      <c r="V332" s="11"/>
    </row>
    <row r="333" spans="9:22" ht="14.25" customHeight="1" x14ac:dyDescent="0.3">
      <c r="I333" s="11"/>
      <c r="V333" s="11"/>
    </row>
    <row r="334" spans="9:22" ht="14.25" customHeight="1" x14ac:dyDescent="0.3">
      <c r="I334" s="11"/>
      <c r="V334" s="11"/>
    </row>
    <row r="335" spans="9:22" ht="14.25" customHeight="1" x14ac:dyDescent="0.3">
      <c r="I335" s="11"/>
      <c r="V335" s="11"/>
    </row>
    <row r="336" spans="9:22" ht="14.25" customHeight="1" x14ac:dyDescent="0.3">
      <c r="I336" s="11"/>
      <c r="V336" s="11"/>
    </row>
    <row r="337" spans="9:22" ht="14.25" customHeight="1" x14ac:dyDescent="0.3">
      <c r="I337" s="11"/>
      <c r="V337" s="11"/>
    </row>
    <row r="338" spans="9:22" ht="14.25" customHeight="1" x14ac:dyDescent="0.3">
      <c r="I338" s="11"/>
      <c r="V338" s="11"/>
    </row>
    <row r="339" spans="9:22" ht="14.25" customHeight="1" x14ac:dyDescent="0.3">
      <c r="I339" s="11"/>
      <c r="V339" s="11"/>
    </row>
    <row r="340" spans="9:22" ht="14.25" customHeight="1" x14ac:dyDescent="0.3">
      <c r="I340" s="11"/>
      <c r="V340" s="11"/>
    </row>
    <row r="341" spans="9:22" ht="14.25" customHeight="1" x14ac:dyDescent="0.3">
      <c r="I341" s="11"/>
      <c r="V341" s="11"/>
    </row>
    <row r="342" spans="9:22" ht="14.25" customHeight="1" x14ac:dyDescent="0.3">
      <c r="I342" s="11"/>
      <c r="V342" s="11"/>
    </row>
    <row r="343" spans="9:22" ht="14.25" customHeight="1" x14ac:dyDescent="0.3">
      <c r="I343" s="11"/>
      <c r="V343" s="11"/>
    </row>
    <row r="344" spans="9:22" ht="14.25" customHeight="1" x14ac:dyDescent="0.3">
      <c r="I344" s="11"/>
      <c r="V344" s="11"/>
    </row>
    <row r="345" spans="9:22" ht="14.25" customHeight="1" x14ac:dyDescent="0.3">
      <c r="I345" s="11"/>
      <c r="V345" s="11"/>
    </row>
    <row r="346" spans="9:22" ht="14.25" customHeight="1" x14ac:dyDescent="0.3">
      <c r="I346" s="11"/>
      <c r="V346" s="11"/>
    </row>
    <row r="347" spans="9:22" ht="14.25" customHeight="1" x14ac:dyDescent="0.3">
      <c r="I347" s="11"/>
      <c r="V347" s="11"/>
    </row>
    <row r="348" spans="9:22" ht="14.25" customHeight="1" x14ac:dyDescent="0.3">
      <c r="I348" s="11"/>
      <c r="V348" s="11"/>
    </row>
    <row r="349" spans="9:22" ht="14.25" customHeight="1" x14ac:dyDescent="0.3">
      <c r="I349" s="11"/>
      <c r="V349" s="11"/>
    </row>
    <row r="350" spans="9:22" ht="14.25" customHeight="1" x14ac:dyDescent="0.3">
      <c r="I350" s="11"/>
      <c r="V350" s="11"/>
    </row>
    <row r="351" spans="9:22" ht="14.25" customHeight="1" x14ac:dyDescent="0.3">
      <c r="I351" s="11"/>
      <c r="V351" s="11"/>
    </row>
    <row r="352" spans="9:22" ht="14.25" customHeight="1" x14ac:dyDescent="0.3">
      <c r="I352" s="11"/>
      <c r="V352" s="11"/>
    </row>
    <row r="353" spans="9:22" ht="14.25" customHeight="1" x14ac:dyDescent="0.3">
      <c r="I353" s="11"/>
      <c r="V353" s="11"/>
    </row>
    <row r="354" spans="9:22" ht="14.25" customHeight="1" x14ac:dyDescent="0.3">
      <c r="I354" s="11"/>
      <c r="V354" s="11"/>
    </row>
    <row r="355" spans="9:22" ht="14.25" customHeight="1" x14ac:dyDescent="0.3">
      <c r="I355" s="11"/>
      <c r="V355" s="11"/>
    </row>
    <row r="356" spans="9:22" ht="14.25" customHeight="1" x14ac:dyDescent="0.3">
      <c r="I356" s="11"/>
      <c r="V356" s="11"/>
    </row>
    <row r="357" spans="9:22" ht="14.25" customHeight="1" x14ac:dyDescent="0.3">
      <c r="I357" s="11"/>
      <c r="V357" s="11"/>
    </row>
    <row r="358" spans="9:22" ht="14.25" customHeight="1" x14ac:dyDescent="0.3">
      <c r="I358" s="11"/>
      <c r="V358" s="11"/>
    </row>
    <row r="359" spans="9:22" ht="14.25" customHeight="1" x14ac:dyDescent="0.3">
      <c r="I359" s="11"/>
      <c r="V359" s="11"/>
    </row>
    <row r="360" spans="9:22" ht="14.25" customHeight="1" x14ac:dyDescent="0.3">
      <c r="I360" s="11"/>
      <c r="V360" s="11"/>
    </row>
    <row r="361" spans="9:22" ht="14.25" customHeight="1" x14ac:dyDescent="0.3">
      <c r="I361" s="11"/>
      <c r="V361" s="11"/>
    </row>
    <row r="362" spans="9:22" ht="14.25" customHeight="1" x14ac:dyDescent="0.3">
      <c r="I362" s="11"/>
      <c r="V362" s="11"/>
    </row>
    <row r="363" spans="9:22" ht="14.25" customHeight="1" x14ac:dyDescent="0.3">
      <c r="I363" s="11"/>
      <c r="V363" s="11"/>
    </row>
    <row r="364" spans="9:22" ht="14.25" customHeight="1" x14ac:dyDescent="0.3">
      <c r="I364" s="11"/>
      <c r="V364" s="11"/>
    </row>
    <row r="365" spans="9:22" ht="14.25" customHeight="1" x14ac:dyDescent="0.3">
      <c r="I365" s="11"/>
      <c r="V365" s="11"/>
    </row>
    <row r="366" spans="9:22" ht="14.25" customHeight="1" x14ac:dyDescent="0.3">
      <c r="I366" s="11"/>
      <c r="V366" s="11"/>
    </row>
    <row r="367" spans="9:22" ht="14.25" customHeight="1" x14ac:dyDescent="0.3">
      <c r="I367" s="11"/>
      <c r="V367" s="11"/>
    </row>
    <row r="368" spans="9:22" ht="14.25" customHeight="1" x14ac:dyDescent="0.3">
      <c r="I368" s="11"/>
      <c r="V368" s="11"/>
    </row>
    <row r="369" spans="9:22" ht="14.25" customHeight="1" x14ac:dyDescent="0.3">
      <c r="I369" s="11"/>
      <c r="V369" s="11"/>
    </row>
    <row r="370" spans="9:22" ht="14.25" customHeight="1" x14ac:dyDescent="0.3">
      <c r="I370" s="11"/>
      <c r="V370" s="11"/>
    </row>
    <row r="371" spans="9:22" ht="14.25" customHeight="1" x14ac:dyDescent="0.3">
      <c r="I371" s="11"/>
      <c r="V371" s="11"/>
    </row>
    <row r="372" spans="9:22" ht="14.25" customHeight="1" x14ac:dyDescent="0.3">
      <c r="I372" s="11"/>
      <c r="V372" s="11"/>
    </row>
    <row r="373" spans="9:22" ht="14.25" customHeight="1" x14ac:dyDescent="0.3">
      <c r="I373" s="11"/>
      <c r="V373" s="11"/>
    </row>
    <row r="374" spans="9:22" ht="14.25" customHeight="1" x14ac:dyDescent="0.3">
      <c r="I374" s="11"/>
      <c r="V374" s="11"/>
    </row>
    <row r="375" spans="9:22" ht="14.25" customHeight="1" x14ac:dyDescent="0.3">
      <c r="I375" s="11"/>
      <c r="V375" s="11"/>
    </row>
    <row r="376" spans="9:22" ht="14.25" customHeight="1" x14ac:dyDescent="0.3">
      <c r="I376" s="11"/>
      <c r="V376" s="11"/>
    </row>
    <row r="377" spans="9:22" ht="14.25" customHeight="1" x14ac:dyDescent="0.3">
      <c r="I377" s="11"/>
      <c r="V377" s="11"/>
    </row>
    <row r="378" spans="9:22" ht="14.25" customHeight="1" x14ac:dyDescent="0.3">
      <c r="I378" s="11"/>
      <c r="V378" s="11"/>
    </row>
    <row r="379" spans="9:22" ht="14.25" customHeight="1" x14ac:dyDescent="0.3">
      <c r="I379" s="11"/>
      <c r="V379" s="11"/>
    </row>
    <row r="380" spans="9:22" ht="14.25" customHeight="1" x14ac:dyDescent="0.3">
      <c r="I380" s="11"/>
      <c r="V380" s="11"/>
    </row>
    <row r="381" spans="9:22" ht="14.25" customHeight="1" x14ac:dyDescent="0.3">
      <c r="I381" s="11"/>
      <c r="V381" s="11"/>
    </row>
    <row r="382" spans="9:22" ht="14.25" customHeight="1" x14ac:dyDescent="0.3">
      <c r="I382" s="11"/>
      <c r="V382" s="11"/>
    </row>
    <row r="383" spans="9:22" ht="14.25" customHeight="1" x14ac:dyDescent="0.3">
      <c r="I383" s="11"/>
      <c r="V383" s="11"/>
    </row>
    <row r="384" spans="9:22" ht="14.25" customHeight="1" x14ac:dyDescent="0.3">
      <c r="I384" s="11"/>
      <c r="V384" s="11"/>
    </row>
    <row r="385" spans="9:22" ht="14.25" customHeight="1" x14ac:dyDescent="0.3">
      <c r="I385" s="11"/>
      <c r="V385" s="11"/>
    </row>
    <row r="386" spans="9:22" ht="14.25" customHeight="1" x14ac:dyDescent="0.3">
      <c r="I386" s="11"/>
      <c r="V386" s="11"/>
    </row>
    <row r="387" spans="9:22" ht="14.25" customHeight="1" x14ac:dyDescent="0.3">
      <c r="I387" s="11"/>
      <c r="V387" s="11"/>
    </row>
    <row r="388" spans="9:22" ht="14.25" customHeight="1" x14ac:dyDescent="0.3">
      <c r="I388" s="11"/>
      <c r="V388" s="11"/>
    </row>
    <row r="389" spans="9:22" ht="14.25" customHeight="1" x14ac:dyDescent="0.3">
      <c r="I389" s="11"/>
      <c r="V389" s="11"/>
    </row>
    <row r="390" spans="9:22" ht="14.25" customHeight="1" x14ac:dyDescent="0.3">
      <c r="I390" s="11"/>
      <c r="V390" s="11"/>
    </row>
    <row r="391" spans="9:22" ht="14.25" customHeight="1" x14ac:dyDescent="0.3">
      <c r="I391" s="11"/>
      <c r="V391" s="11"/>
    </row>
    <row r="392" spans="9:22" ht="14.25" customHeight="1" x14ac:dyDescent="0.3">
      <c r="I392" s="11"/>
      <c r="V392" s="11"/>
    </row>
    <row r="393" spans="9:22" ht="14.25" customHeight="1" x14ac:dyDescent="0.3">
      <c r="I393" s="11"/>
      <c r="V393" s="11"/>
    </row>
    <row r="394" spans="9:22" ht="14.25" customHeight="1" x14ac:dyDescent="0.3">
      <c r="I394" s="11"/>
      <c r="V394" s="11"/>
    </row>
    <row r="395" spans="9:22" ht="14.25" customHeight="1" x14ac:dyDescent="0.3">
      <c r="I395" s="11"/>
      <c r="V395" s="11"/>
    </row>
    <row r="396" spans="9:22" ht="14.25" customHeight="1" x14ac:dyDescent="0.3">
      <c r="I396" s="11"/>
      <c r="V396" s="11"/>
    </row>
    <row r="397" spans="9:22" ht="14.25" customHeight="1" x14ac:dyDescent="0.3">
      <c r="I397" s="11"/>
      <c r="V397" s="11"/>
    </row>
    <row r="398" spans="9:22" ht="14.25" customHeight="1" x14ac:dyDescent="0.3">
      <c r="I398" s="11"/>
      <c r="V398" s="11"/>
    </row>
    <row r="399" spans="9:22" ht="14.25" customHeight="1" x14ac:dyDescent="0.3">
      <c r="I399" s="11"/>
      <c r="V399" s="11"/>
    </row>
    <row r="400" spans="9:22" ht="14.25" customHeight="1" x14ac:dyDescent="0.3">
      <c r="I400" s="11"/>
      <c r="V400" s="11"/>
    </row>
    <row r="401" spans="9:22" ht="14.25" customHeight="1" x14ac:dyDescent="0.3">
      <c r="I401" s="11"/>
      <c r="V401" s="11"/>
    </row>
    <row r="402" spans="9:22" ht="14.25" customHeight="1" x14ac:dyDescent="0.3">
      <c r="I402" s="11"/>
      <c r="V402" s="11"/>
    </row>
    <row r="403" spans="9:22" ht="14.25" customHeight="1" x14ac:dyDescent="0.3">
      <c r="I403" s="11"/>
      <c r="V403" s="11"/>
    </row>
    <row r="404" spans="9:22" ht="14.25" customHeight="1" x14ac:dyDescent="0.3">
      <c r="I404" s="11"/>
      <c r="V404" s="11"/>
    </row>
    <row r="405" spans="9:22" ht="14.25" customHeight="1" x14ac:dyDescent="0.3">
      <c r="I405" s="11"/>
      <c r="V405" s="11"/>
    </row>
    <row r="406" spans="9:22" ht="14.25" customHeight="1" x14ac:dyDescent="0.3">
      <c r="I406" s="11"/>
      <c r="V406" s="11"/>
    </row>
    <row r="407" spans="9:22" ht="14.25" customHeight="1" x14ac:dyDescent="0.3">
      <c r="I407" s="11"/>
      <c r="V407" s="11"/>
    </row>
    <row r="408" spans="9:22" ht="14.25" customHeight="1" x14ac:dyDescent="0.3">
      <c r="I408" s="11"/>
      <c r="V408" s="11"/>
    </row>
    <row r="409" spans="9:22" ht="14.25" customHeight="1" x14ac:dyDescent="0.3">
      <c r="I409" s="11"/>
      <c r="V409" s="11"/>
    </row>
    <row r="410" spans="9:22" ht="14.25" customHeight="1" x14ac:dyDescent="0.3">
      <c r="I410" s="11"/>
      <c r="V410" s="11"/>
    </row>
    <row r="411" spans="9:22" ht="14.25" customHeight="1" x14ac:dyDescent="0.3">
      <c r="I411" s="11"/>
      <c r="V411" s="11"/>
    </row>
    <row r="412" spans="9:22" ht="14.25" customHeight="1" x14ac:dyDescent="0.3">
      <c r="I412" s="11"/>
      <c r="V412" s="11"/>
    </row>
    <row r="413" spans="9:22" ht="14.25" customHeight="1" x14ac:dyDescent="0.3">
      <c r="I413" s="11"/>
      <c r="V413" s="11"/>
    </row>
    <row r="414" spans="9:22" ht="14.25" customHeight="1" x14ac:dyDescent="0.3">
      <c r="I414" s="11"/>
      <c r="V414" s="11"/>
    </row>
    <row r="415" spans="9:22" ht="14.25" customHeight="1" x14ac:dyDescent="0.3">
      <c r="I415" s="11"/>
      <c r="V415" s="11"/>
    </row>
    <row r="416" spans="9:22" ht="14.25" customHeight="1" x14ac:dyDescent="0.3">
      <c r="I416" s="11"/>
      <c r="V416" s="11"/>
    </row>
    <row r="417" spans="9:22" ht="14.25" customHeight="1" x14ac:dyDescent="0.3">
      <c r="I417" s="11"/>
      <c r="V417" s="11"/>
    </row>
    <row r="418" spans="9:22" ht="14.25" customHeight="1" x14ac:dyDescent="0.3">
      <c r="I418" s="11"/>
      <c r="V418" s="11"/>
    </row>
    <row r="419" spans="9:22" ht="14.25" customHeight="1" x14ac:dyDescent="0.3">
      <c r="I419" s="11"/>
      <c r="V419" s="11"/>
    </row>
    <row r="420" spans="9:22" ht="14.25" customHeight="1" x14ac:dyDescent="0.3">
      <c r="I420" s="11"/>
      <c r="V420" s="11"/>
    </row>
    <row r="421" spans="9:22" ht="14.25" customHeight="1" x14ac:dyDescent="0.3">
      <c r="I421" s="11"/>
      <c r="V421" s="11"/>
    </row>
    <row r="422" spans="9:22" ht="14.25" customHeight="1" x14ac:dyDescent="0.3">
      <c r="I422" s="11"/>
      <c r="V422" s="11"/>
    </row>
    <row r="423" spans="9:22" ht="14.25" customHeight="1" x14ac:dyDescent="0.3">
      <c r="I423" s="11"/>
      <c r="V423" s="11"/>
    </row>
    <row r="424" spans="9:22" ht="14.25" customHeight="1" x14ac:dyDescent="0.3">
      <c r="I424" s="11"/>
      <c r="V424" s="11"/>
    </row>
    <row r="425" spans="9:22" ht="14.25" customHeight="1" x14ac:dyDescent="0.3">
      <c r="I425" s="11"/>
      <c r="V425" s="11"/>
    </row>
    <row r="426" spans="9:22" ht="14.25" customHeight="1" x14ac:dyDescent="0.3">
      <c r="I426" s="11"/>
      <c r="V426" s="11"/>
    </row>
    <row r="427" spans="9:22" ht="14.25" customHeight="1" x14ac:dyDescent="0.3">
      <c r="I427" s="11"/>
      <c r="V427" s="11"/>
    </row>
    <row r="428" spans="9:22" ht="14.25" customHeight="1" x14ac:dyDescent="0.3">
      <c r="I428" s="11"/>
      <c r="V428" s="11"/>
    </row>
    <row r="429" spans="9:22" ht="14.25" customHeight="1" x14ac:dyDescent="0.3">
      <c r="I429" s="11"/>
      <c r="V429" s="11"/>
    </row>
    <row r="430" spans="9:22" ht="14.25" customHeight="1" x14ac:dyDescent="0.3">
      <c r="I430" s="11"/>
      <c r="V430" s="11"/>
    </row>
    <row r="431" spans="9:22" ht="14.25" customHeight="1" x14ac:dyDescent="0.3">
      <c r="I431" s="11"/>
      <c r="V431" s="11"/>
    </row>
    <row r="432" spans="9:22" ht="14.25" customHeight="1" x14ac:dyDescent="0.3">
      <c r="I432" s="11"/>
      <c r="V432" s="11"/>
    </row>
    <row r="433" spans="9:22" ht="14.25" customHeight="1" x14ac:dyDescent="0.3">
      <c r="I433" s="11"/>
      <c r="V433" s="11"/>
    </row>
    <row r="434" spans="9:22" ht="14.25" customHeight="1" x14ac:dyDescent="0.3">
      <c r="I434" s="11"/>
      <c r="V434" s="11"/>
    </row>
    <row r="435" spans="9:22" ht="14.25" customHeight="1" x14ac:dyDescent="0.3">
      <c r="I435" s="11"/>
      <c r="V435" s="11"/>
    </row>
    <row r="436" spans="9:22" ht="14.25" customHeight="1" x14ac:dyDescent="0.3">
      <c r="I436" s="11"/>
      <c r="V436" s="11"/>
    </row>
    <row r="437" spans="9:22" ht="14.25" customHeight="1" x14ac:dyDescent="0.3">
      <c r="I437" s="11"/>
      <c r="V437" s="11"/>
    </row>
    <row r="438" spans="9:22" ht="14.25" customHeight="1" x14ac:dyDescent="0.3">
      <c r="I438" s="11"/>
      <c r="V438" s="11"/>
    </row>
    <row r="439" spans="9:22" ht="14.25" customHeight="1" x14ac:dyDescent="0.3">
      <c r="I439" s="11"/>
      <c r="V439" s="11"/>
    </row>
    <row r="440" spans="9:22" ht="14.25" customHeight="1" x14ac:dyDescent="0.3">
      <c r="I440" s="11"/>
      <c r="V440" s="11"/>
    </row>
    <row r="441" spans="9:22" ht="14.25" customHeight="1" x14ac:dyDescent="0.3">
      <c r="I441" s="11"/>
      <c r="V441" s="11"/>
    </row>
    <row r="442" spans="9:22" ht="14.25" customHeight="1" x14ac:dyDescent="0.3">
      <c r="I442" s="11"/>
      <c r="V442" s="11"/>
    </row>
    <row r="443" spans="9:22" ht="14.25" customHeight="1" x14ac:dyDescent="0.3">
      <c r="I443" s="11"/>
      <c r="V443" s="11"/>
    </row>
    <row r="444" spans="9:22" ht="14.25" customHeight="1" x14ac:dyDescent="0.3">
      <c r="I444" s="11"/>
      <c r="V444" s="11"/>
    </row>
    <row r="445" spans="9:22" ht="14.25" customHeight="1" x14ac:dyDescent="0.3">
      <c r="I445" s="11"/>
      <c r="V445" s="11"/>
    </row>
    <row r="446" spans="9:22" ht="14.25" customHeight="1" x14ac:dyDescent="0.3">
      <c r="I446" s="11"/>
      <c r="V446" s="11"/>
    </row>
    <row r="447" spans="9:22" ht="14.25" customHeight="1" x14ac:dyDescent="0.3">
      <c r="I447" s="11"/>
      <c r="V447" s="11"/>
    </row>
    <row r="448" spans="9:22" ht="14.25" customHeight="1" x14ac:dyDescent="0.3">
      <c r="I448" s="11"/>
      <c r="V448" s="11"/>
    </row>
    <row r="449" spans="9:22" ht="14.25" customHeight="1" x14ac:dyDescent="0.3">
      <c r="I449" s="11"/>
      <c r="V449" s="11"/>
    </row>
    <row r="450" spans="9:22" ht="14.25" customHeight="1" x14ac:dyDescent="0.3">
      <c r="I450" s="11"/>
      <c r="V450" s="11"/>
    </row>
    <row r="451" spans="9:22" ht="14.25" customHeight="1" x14ac:dyDescent="0.3">
      <c r="I451" s="11"/>
      <c r="V451" s="11"/>
    </row>
    <row r="452" spans="9:22" ht="14.25" customHeight="1" x14ac:dyDescent="0.3">
      <c r="I452" s="11"/>
      <c r="V452" s="11"/>
    </row>
    <row r="453" spans="9:22" ht="14.25" customHeight="1" x14ac:dyDescent="0.3">
      <c r="I453" s="11"/>
      <c r="V453" s="11"/>
    </row>
    <row r="454" spans="9:22" ht="14.25" customHeight="1" x14ac:dyDescent="0.3">
      <c r="I454" s="11"/>
      <c r="V454" s="11"/>
    </row>
    <row r="455" spans="9:22" ht="14.25" customHeight="1" x14ac:dyDescent="0.3">
      <c r="I455" s="11"/>
      <c r="V455" s="11"/>
    </row>
    <row r="456" spans="9:22" ht="14.25" customHeight="1" x14ac:dyDescent="0.3">
      <c r="I456" s="11"/>
      <c r="V456" s="11"/>
    </row>
    <row r="457" spans="9:22" ht="14.25" customHeight="1" x14ac:dyDescent="0.3">
      <c r="I457" s="11"/>
      <c r="V457" s="11"/>
    </row>
    <row r="458" spans="9:22" ht="14.25" customHeight="1" x14ac:dyDescent="0.3">
      <c r="I458" s="11"/>
      <c r="V458" s="11"/>
    </row>
    <row r="459" spans="9:22" ht="14.25" customHeight="1" x14ac:dyDescent="0.3">
      <c r="I459" s="11"/>
      <c r="V459" s="11"/>
    </row>
    <row r="460" spans="9:22" ht="14.25" customHeight="1" x14ac:dyDescent="0.3">
      <c r="I460" s="11"/>
      <c r="V460" s="11"/>
    </row>
    <row r="461" spans="9:22" ht="14.25" customHeight="1" x14ac:dyDescent="0.3">
      <c r="I461" s="11"/>
      <c r="V461" s="11"/>
    </row>
    <row r="462" spans="9:22" ht="14.25" customHeight="1" x14ac:dyDescent="0.3">
      <c r="I462" s="11"/>
      <c r="V462" s="11"/>
    </row>
    <row r="463" spans="9:22" ht="14.25" customHeight="1" x14ac:dyDescent="0.3">
      <c r="I463" s="11"/>
      <c r="V463" s="11"/>
    </row>
    <row r="464" spans="9:22" ht="14.25" customHeight="1" x14ac:dyDescent="0.3">
      <c r="I464" s="11"/>
      <c r="V464" s="11"/>
    </row>
    <row r="465" spans="9:22" ht="14.25" customHeight="1" x14ac:dyDescent="0.3">
      <c r="I465" s="11"/>
      <c r="V465" s="11"/>
    </row>
    <row r="466" spans="9:22" ht="14.25" customHeight="1" x14ac:dyDescent="0.3">
      <c r="I466" s="11"/>
      <c r="V466" s="11"/>
    </row>
    <row r="467" spans="9:22" ht="14.25" customHeight="1" x14ac:dyDescent="0.3">
      <c r="I467" s="11"/>
      <c r="V467" s="11"/>
    </row>
    <row r="468" spans="9:22" ht="14.25" customHeight="1" x14ac:dyDescent="0.3">
      <c r="I468" s="11"/>
      <c r="V468" s="11"/>
    </row>
    <row r="469" spans="9:22" ht="14.25" customHeight="1" x14ac:dyDescent="0.3">
      <c r="I469" s="11"/>
      <c r="V469" s="11"/>
    </row>
    <row r="470" spans="9:22" ht="14.25" customHeight="1" x14ac:dyDescent="0.3">
      <c r="I470" s="11"/>
      <c r="V470" s="11"/>
    </row>
    <row r="471" spans="9:22" ht="14.25" customHeight="1" x14ac:dyDescent="0.3">
      <c r="I471" s="11"/>
      <c r="V471" s="11"/>
    </row>
    <row r="472" spans="9:22" ht="14.25" customHeight="1" x14ac:dyDescent="0.3">
      <c r="I472" s="11"/>
      <c r="V472" s="11"/>
    </row>
    <row r="473" spans="9:22" ht="14.25" customHeight="1" x14ac:dyDescent="0.3">
      <c r="I473" s="11"/>
      <c r="V473" s="11"/>
    </row>
    <row r="474" spans="9:22" ht="14.25" customHeight="1" x14ac:dyDescent="0.3">
      <c r="I474" s="11"/>
      <c r="V474" s="11"/>
    </row>
    <row r="475" spans="9:22" ht="14.25" customHeight="1" x14ac:dyDescent="0.3">
      <c r="I475" s="11"/>
      <c r="V475" s="11"/>
    </row>
    <row r="476" spans="9:22" ht="14.25" customHeight="1" x14ac:dyDescent="0.3">
      <c r="I476" s="11"/>
      <c r="V476" s="11"/>
    </row>
    <row r="477" spans="9:22" ht="14.25" customHeight="1" x14ac:dyDescent="0.3">
      <c r="I477" s="11"/>
      <c r="V477" s="11"/>
    </row>
    <row r="478" spans="9:22" ht="14.25" customHeight="1" x14ac:dyDescent="0.3">
      <c r="I478" s="11"/>
      <c r="V478" s="11"/>
    </row>
    <row r="479" spans="9:22" ht="14.25" customHeight="1" x14ac:dyDescent="0.3">
      <c r="I479" s="11"/>
      <c r="V479" s="11"/>
    </row>
    <row r="480" spans="9:22" ht="14.25" customHeight="1" x14ac:dyDescent="0.3">
      <c r="I480" s="11"/>
      <c r="V480" s="11"/>
    </row>
    <row r="481" spans="9:22" ht="14.25" customHeight="1" x14ac:dyDescent="0.3">
      <c r="I481" s="11"/>
      <c r="V481" s="11"/>
    </row>
    <row r="482" spans="9:22" ht="14.25" customHeight="1" x14ac:dyDescent="0.3">
      <c r="I482" s="11"/>
      <c r="V482" s="11"/>
    </row>
    <row r="483" spans="9:22" ht="14.25" customHeight="1" x14ac:dyDescent="0.3">
      <c r="I483" s="11"/>
      <c r="V483" s="11"/>
    </row>
    <row r="484" spans="9:22" ht="14.25" customHeight="1" x14ac:dyDescent="0.3">
      <c r="I484" s="11"/>
      <c r="V484" s="11"/>
    </row>
    <row r="485" spans="9:22" ht="14.25" customHeight="1" x14ac:dyDescent="0.3">
      <c r="I485" s="11"/>
      <c r="V485" s="11"/>
    </row>
    <row r="486" spans="9:22" ht="14.25" customHeight="1" x14ac:dyDescent="0.3">
      <c r="I486" s="11"/>
      <c r="V486" s="11"/>
    </row>
    <row r="487" spans="9:22" ht="14.25" customHeight="1" x14ac:dyDescent="0.3">
      <c r="I487" s="11"/>
      <c r="V487" s="11"/>
    </row>
    <row r="488" spans="9:22" ht="14.25" customHeight="1" x14ac:dyDescent="0.3">
      <c r="I488" s="11"/>
      <c r="V488" s="11"/>
    </row>
    <row r="489" spans="9:22" ht="14.25" customHeight="1" x14ac:dyDescent="0.3">
      <c r="I489" s="11"/>
      <c r="V489" s="11"/>
    </row>
    <row r="490" spans="9:22" ht="14.25" customHeight="1" x14ac:dyDescent="0.3">
      <c r="I490" s="11"/>
      <c r="V490" s="11"/>
    </row>
    <row r="491" spans="9:22" ht="14.25" customHeight="1" x14ac:dyDescent="0.3">
      <c r="I491" s="11"/>
      <c r="V491" s="11"/>
    </row>
    <row r="492" spans="9:22" ht="14.25" customHeight="1" x14ac:dyDescent="0.3">
      <c r="I492" s="11"/>
      <c r="V492" s="11"/>
    </row>
    <row r="493" spans="9:22" ht="14.25" customHeight="1" x14ac:dyDescent="0.3">
      <c r="I493" s="11"/>
      <c r="V493" s="11"/>
    </row>
    <row r="494" spans="9:22" ht="14.25" customHeight="1" x14ac:dyDescent="0.3">
      <c r="I494" s="11"/>
      <c r="V494" s="11"/>
    </row>
    <row r="495" spans="9:22" ht="14.25" customHeight="1" x14ac:dyDescent="0.3">
      <c r="I495" s="11"/>
      <c r="V495" s="11"/>
    </row>
    <row r="496" spans="9:22" ht="14.25" customHeight="1" x14ac:dyDescent="0.3">
      <c r="I496" s="11"/>
      <c r="V496" s="11"/>
    </row>
    <row r="497" spans="9:22" ht="14.25" customHeight="1" x14ac:dyDescent="0.3">
      <c r="I497" s="11"/>
      <c r="V497" s="11"/>
    </row>
    <row r="498" spans="9:22" ht="14.25" customHeight="1" x14ac:dyDescent="0.3">
      <c r="I498" s="11"/>
      <c r="V498" s="11"/>
    </row>
    <row r="499" spans="9:22" ht="14.25" customHeight="1" x14ac:dyDescent="0.3">
      <c r="I499" s="11"/>
      <c r="V499" s="11"/>
    </row>
    <row r="500" spans="9:22" ht="14.25" customHeight="1" x14ac:dyDescent="0.3">
      <c r="I500" s="11"/>
      <c r="V500" s="11"/>
    </row>
    <row r="501" spans="9:22" ht="14.25" customHeight="1" x14ac:dyDescent="0.3">
      <c r="I501" s="11"/>
      <c r="V501" s="11"/>
    </row>
    <row r="502" spans="9:22" ht="14.25" customHeight="1" x14ac:dyDescent="0.3">
      <c r="I502" s="11"/>
      <c r="V502" s="11"/>
    </row>
    <row r="503" spans="9:22" ht="14.25" customHeight="1" x14ac:dyDescent="0.3">
      <c r="I503" s="11"/>
      <c r="V503" s="11"/>
    </row>
    <row r="504" spans="9:22" ht="14.25" customHeight="1" x14ac:dyDescent="0.3">
      <c r="I504" s="11"/>
      <c r="V504" s="11"/>
    </row>
    <row r="505" spans="9:22" ht="14.25" customHeight="1" x14ac:dyDescent="0.3">
      <c r="I505" s="11"/>
      <c r="V505" s="11"/>
    </row>
    <row r="506" spans="9:22" ht="14.25" customHeight="1" x14ac:dyDescent="0.3">
      <c r="I506" s="11"/>
      <c r="V506" s="11"/>
    </row>
    <row r="507" spans="9:22" ht="14.25" customHeight="1" x14ac:dyDescent="0.3">
      <c r="I507" s="11"/>
      <c r="V507" s="11"/>
    </row>
    <row r="508" spans="9:22" ht="14.25" customHeight="1" x14ac:dyDescent="0.3">
      <c r="I508" s="11"/>
      <c r="V508" s="11"/>
    </row>
    <row r="509" spans="9:22" ht="14.25" customHeight="1" x14ac:dyDescent="0.3">
      <c r="I509" s="11"/>
      <c r="V509" s="11"/>
    </row>
    <row r="510" spans="9:22" ht="14.25" customHeight="1" x14ac:dyDescent="0.3">
      <c r="I510" s="11"/>
      <c r="V510" s="11"/>
    </row>
    <row r="511" spans="9:22" ht="14.25" customHeight="1" x14ac:dyDescent="0.3">
      <c r="I511" s="11"/>
      <c r="V511" s="11"/>
    </row>
    <row r="512" spans="9:22" ht="14.25" customHeight="1" x14ac:dyDescent="0.3">
      <c r="I512" s="11"/>
      <c r="V512" s="11"/>
    </row>
    <row r="513" spans="9:22" ht="14.25" customHeight="1" x14ac:dyDescent="0.3">
      <c r="I513" s="11"/>
      <c r="V513" s="11"/>
    </row>
    <row r="514" spans="9:22" ht="14.25" customHeight="1" x14ac:dyDescent="0.3">
      <c r="I514" s="11"/>
      <c r="V514" s="11"/>
    </row>
    <row r="515" spans="9:22" ht="14.25" customHeight="1" x14ac:dyDescent="0.3">
      <c r="I515" s="11"/>
      <c r="V515" s="11"/>
    </row>
    <row r="516" spans="9:22" ht="14.25" customHeight="1" x14ac:dyDescent="0.3">
      <c r="I516" s="11"/>
      <c r="V516" s="11"/>
    </row>
    <row r="517" spans="9:22" ht="14.25" customHeight="1" x14ac:dyDescent="0.3">
      <c r="I517" s="11"/>
      <c r="V517" s="11"/>
    </row>
    <row r="518" spans="9:22" ht="14.25" customHeight="1" x14ac:dyDescent="0.3">
      <c r="I518" s="11"/>
      <c r="V518" s="11"/>
    </row>
    <row r="519" spans="9:22" ht="14.25" customHeight="1" x14ac:dyDescent="0.3">
      <c r="I519" s="11"/>
      <c r="V519" s="11"/>
    </row>
    <row r="520" spans="9:22" ht="14.25" customHeight="1" x14ac:dyDescent="0.3">
      <c r="I520" s="11"/>
      <c r="V520" s="11"/>
    </row>
    <row r="521" spans="9:22" ht="14.25" customHeight="1" x14ac:dyDescent="0.3">
      <c r="I521" s="11"/>
      <c r="V521" s="11"/>
    </row>
    <row r="522" spans="9:22" ht="14.25" customHeight="1" x14ac:dyDescent="0.3">
      <c r="I522" s="11"/>
      <c r="V522" s="11"/>
    </row>
    <row r="523" spans="9:22" ht="14.25" customHeight="1" x14ac:dyDescent="0.3">
      <c r="I523" s="11"/>
      <c r="V523" s="11"/>
    </row>
    <row r="524" spans="9:22" ht="14.25" customHeight="1" x14ac:dyDescent="0.3">
      <c r="I524" s="11"/>
      <c r="V524" s="11"/>
    </row>
    <row r="525" spans="9:22" ht="14.25" customHeight="1" x14ac:dyDescent="0.3">
      <c r="I525" s="11"/>
      <c r="V525" s="11"/>
    </row>
    <row r="526" spans="9:22" ht="14.25" customHeight="1" x14ac:dyDescent="0.3">
      <c r="I526" s="11"/>
      <c r="V526" s="11"/>
    </row>
    <row r="527" spans="9:22" ht="14.25" customHeight="1" x14ac:dyDescent="0.3">
      <c r="I527" s="11"/>
      <c r="V527" s="11"/>
    </row>
    <row r="528" spans="9:22" ht="14.25" customHeight="1" x14ac:dyDescent="0.3">
      <c r="I528" s="11"/>
      <c r="V528" s="11"/>
    </row>
    <row r="529" spans="9:22" ht="14.25" customHeight="1" x14ac:dyDescent="0.3">
      <c r="I529" s="11"/>
      <c r="V529" s="11"/>
    </row>
    <row r="530" spans="9:22" ht="14.25" customHeight="1" x14ac:dyDescent="0.3">
      <c r="I530" s="11"/>
      <c r="V530" s="11"/>
    </row>
    <row r="531" spans="9:22" ht="14.25" customHeight="1" x14ac:dyDescent="0.3">
      <c r="I531" s="11"/>
      <c r="V531" s="11"/>
    </row>
    <row r="532" spans="9:22" ht="14.25" customHeight="1" x14ac:dyDescent="0.3">
      <c r="I532" s="11"/>
      <c r="V532" s="11"/>
    </row>
    <row r="533" spans="9:22" ht="14.25" customHeight="1" x14ac:dyDescent="0.3">
      <c r="I533" s="11"/>
      <c r="V533" s="11"/>
    </row>
    <row r="534" spans="9:22" ht="14.25" customHeight="1" x14ac:dyDescent="0.3">
      <c r="I534" s="11"/>
      <c r="V534" s="11"/>
    </row>
    <row r="535" spans="9:22" ht="14.25" customHeight="1" x14ac:dyDescent="0.3">
      <c r="I535" s="11"/>
      <c r="V535" s="11"/>
    </row>
    <row r="536" spans="9:22" ht="14.25" customHeight="1" x14ac:dyDescent="0.3">
      <c r="I536" s="11"/>
      <c r="V536" s="11"/>
    </row>
    <row r="537" spans="9:22" ht="14.25" customHeight="1" x14ac:dyDescent="0.3">
      <c r="I537" s="11"/>
      <c r="V537" s="11"/>
    </row>
    <row r="538" spans="9:22" ht="14.25" customHeight="1" x14ac:dyDescent="0.3">
      <c r="I538" s="11"/>
      <c r="V538" s="11"/>
    </row>
    <row r="539" spans="9:22" ht="14.25" customHeight="1" x14ac:dyDescent="0.3">
      <c r="I539" s="11"/>
      <c r="V539" s="11"/>
    </row>
    <row r="540" spans="9:22" ht="14.25" customHeight="1" x14ac:dyDescent="0.3">
      <c r="I540" s="11"/>
      <c r="V540" s="11"/>
    </row>
    <row r="541" spans="9:22" ht="14.25" customHeight="1" x14ac:dyDescent="0.3">
      <c r="I541" s="11"/>
      <c r="V541" s="11"/>
    </row>
    <row r="542" spans="9:22" ht="14.25" customHeight="1" x14ac:dyDescent="0.3">
      <c r="I542" s="11"/>
      <c r="V542" s="11"/>
    </row>
    <row r="543" spans="9:22" ht="14.25" customHeight="1" x14ac:dyDescent="0.3">
      <c r="I543" s="11"/>
      <c r="V543" s="11"/>
    </row>
    <row r="544" spans="9:22" ht="14.25" customHeight="1" x14ac:dyDescent="0.3">
      <c r="I544" s="11"/>
      <c r="V544" s="11"/>
    </row>
    <row r="545" spans="9:22" ht="14.25" customHeight="1" x14ac:dyDescent="0.3">
      <c r="I545" s="11"/>
      <c r="V545" s="11"/>
    </row>
    <row r="546" spans="9:22" ht="14.25" customHeight="1" x14ac:dyDescent="0.3">
      <c r="I546" s="11"/>
      <c r="V546" s="11"/>
    </row>
    <row r="547" spans="9:22" ht="14.25" customHeight="1" x14ac:dyDescent="0.3">
      <c r="I547" s="11"/>
      <c r="V547" s="11"/>
    </row>
    <row r="548" spans="9:22" ht="14.25" customHeight="1" x14ac:dyDescent="0.3">
      <c r="I548" s="11"/>
      <c r="V548" s="11"/>
    </row>
    <row r="549" spans="9:22" ht="14.25" customHeight="1" x14ac:dyDescent="0.3">
      <c r="I549" s="11"/>
      <c r="V549" s="11"/>
    </row>
    <row r="550" spans="9:22" ht="14.25" customHeight="1" x14ac:dyDescent="0.3">
      <c r="I550" s="11"/>
      <c r="V550" s="11"/>
    </row>
    <row r="551" spans="9:22" ht="14.25" customHeight="1" x14ac:dyDescent="0.3">
      <c r="I551" s="11"/>
      <c r="V551" s="11"/>
    </row>
    <row r="552" spans="9:22" ht="14.25" customHeight="1" x14ac:dyDescent="0.3">
      <c r="I552" s="11"/>
      <c r="V552" s="11"/>
    </row>
    <row r="553" spans="9:22" ht="14.25" customHeight="1" x14ac:dyDescent="0.3">
      <c r="I553" s="11"/>
      <c r="V553" s="11"/>
    </row>
    <row r="554" spans="9:22" ht="14.25" customHeight="1" x14ac:dyDescent="0.3">
      <c r="I554" s="11"/>
      <c r="V554" s="11"/>
    </row>
    <row r="555" spans="9:22" ht="14.25" customHeight="1" x14ac:dyDescent="0.3">
      <c r="I555" s="11"/>
      <c r="V555" s="11"/>
    </row>
    <row r="556" spans="9:22" ht="14.25" customHeight="1" x14ac:dyDescent="0.3">
      <c r="I556" s="11"/>
      <c r="V556" s="11"/>
    </row>
    <row r="557" spans="9:22" ht="14.25" customHeight="1" x14ac:dyDescent="0.3">
      <c r="I557" s="11"/>
      <c r="V557" s="11"/>
    </row>
    <row r="558" spans="9:22" ht="14.25" customHeight="1" x14ac:dyDescent="0.3">
      <c r="I558" s="11"/>
      <c r="V558" s="11"/>
    </row>
    <row r="559" spans="9:22" ht="14.25" customHeight="1" x14ac:dyDescent="0.3">
      <c r="I559" s="11"/>
      <c r="V559" s="11"/>
    </row>
    <row r="560" spans="9:22" ht="14.25" customHeight="1" x14ac:dyDescent="0.3">
      <c r="I560" s="11"/>
      <c r="V560" s="11"/>
    </row>
    <row r="561" spans="9:22" ht="14.25" customHeight="1" x14ac:dyDescent="0.3">
      <c r="I561" s="11"/>
      <c r="V561" s="11"/>
    </row>
    <row r="562" spans="9:22" ht="14.25" customHeight="1" x14ac:dyDescent="0.3">
      <c r="I562" s="11"/>
      <c r="V562" s="11"/>
    </row>
    <row r="563" spans="9:22" ht="14.25" customHeight="1" x14ac:dyDescent="0.3">
      <c r="I563" s="11"/>
      <c r="V563" s="11"/>
    </row>
    <row r="564" spans="9:22" ht="14.25" customHeight="1" x14ac:dyDescent="0.3">
      <c r="I564" s="11"/>
      <c r="V564" s="11"/>
    </row>
    <row r="565" spans="9:22" ht="14.25" customHeight="1" x14ac:dyDescent="0.3">
      <c r="I565" s="11"/>
      <c r="V565" s="11"/>
    </row>
    <row r="566" spans="9:22" ht="14.25" customHeight="1" x14ac:dyDescent="0.3">
      <c r="I566" s="11"/>
      <c r="V566" s="11"/>
    </row>
    <row r="567" spans="9:22" ht="14.25" customHeight="1" x14ac:dyDescent="0.3">
      <c r="I567" s="11"/>
      <c r="V567" s="11"/>
    </row>
    <row r="568" spans="9:22" ht="14.25" customHeight="1" x14ac:dyDescent="0.3">
      <c r="I568" s="11"/>
      <c r="V568" s="11"/>
    </row>
    <row r="569" spans="9:22" ht="14.25" customHeight="1" x14ac:dyDescent="0.3">
      <c r="I569" s="11"/>
      <c r="V569" s="11"/>
    </row>
    <row r="570" spans="9:22" ht="14.25" customHeight="1" x14ac:dyDescent="0.3">
      <c r="I570" s="11"/>
      <c r="V570" s="11"/>
    </row>
    <row r="571" spans="9:22" ht="14.25" customHeight="1" x14ac:dyDescent="0.3">
      <c r="I571" s="11"/>
      <c r="V571" s="11"/>
    </row>
    <row r="572" spans="9:22" ht="14.25" customHeight="1" x14ac:dyDescent="0.3">
      <c r="I572" s="11"/>
      <c r="V572" s="11"/>
    </row>
    <row r="573" spans="9:22" ht="14.25" customHeight="1" x14ac:dyDescent="0.3">
      <c r="I573" s="11"/>
      <c r="V573" s="11"/>
    </row>
    <row r="574" spans="9:22" ht="14.25" customHeight="1" x14ac:dyDescent="0.3">
      <c r="I574" s="11"/>
      <c r="V574" s="11"/>
    </row>
    <row r="575" spans="9:22" ht="14.25" customHeight="1" x14ac:dyDescent="0.3">
      <c r="I575" s="11"/>
      <c r="V575" s="11"/>
    </row>
    <row r="576" spans="9:22" ht="14.25" customHeight="1" x14ac:dyDescent="0.3">
      <c r="I576" s="11"/>
      <c r="V576" s="11"/>
    </row>
    <row r="577" spans="9:22" ht="14.25" customHeight="1" x14ac:dyDescent="0.3">
      <c r="I577" s="11"/>
      <c r="V577" s="11"/>
    </row>
    <row r="578" spans="9:22" ht="14.25" customHeight="1" x14ac:dyDescent="0.3">
      <c r="I578" s="11"/>
      <c r="V578" s="11"/>
    </row>
    <row r="579" spans="9:22" ht="14.25" customHeight="1" x14ac:dyDescent="0.3">
      <c r="I579" s="11"/>
      <c r="V579" s="11"/>
    </row>
    <row r="580" spans="9:22" ht="14.25" customHeight="1" x14ac:dyDescent="0.3">
      <c r="I580" s="11"/>
      <c r="V580" s="11"/>
    </row>
    <row r="581" spans="9:22" ht="14.25" customHeight="1" x14ac:dyDescent="0.3">
      <c r="I581" s="11"/>
      <c r="V581" s="11"/>
    </row>
    <row r="582" spans="9:22" ht="14.25" customHeight="1" x14ac:dyDescent="0.3">
      <c r="I582" s="11"/>
      <c r="V582" s="11"/>
    </row>
    <row r="583" spans="9:22" ht="14.25" customHeight="1" x14ac:dyDescent="0.3">
      <c r="I583" s="11"/>
      <c r="V583" s="11"/>
    </row>
    <row r="584" spans="9:22" ht="14.25" customHeight="1" x14ac:dyDescent="0.3">
      <c r="I584" s="11"/>
      <c r="V584" s="11"/>
    </row>
    <row r="585" spans="9:22" ht="14.25" customHeight="1" x14ac:dyDescent="0.3">
      <c r="I585" s="11"/>
      <c r="V585" s="11"/>
    </row>
    <row r="586" spans="9:22" ht="14.25" customHeight="1" x14ac:dyDescent="0.3">
      <c r="I586" s="11"/>
      <c r="V586" s="11"/>
    </row>
    <row r="587" spans="9:22" ht="14.25" customHeight="1" x14ac:dyDescent="0.3">
      <c r="I587" s="11"/>
      <c r="V587" s="11"/>
    </row>
    <row r="588" spans="9:22" ht="14.25" customHeight="1" x14ac:dyDescent="0.3">
      <c r="I588" s="11"/>
      <c r="V588" s="11"/>
    </row>
    <row r="589" spans="9:22" ht="14.25" customHeight="1" x14ac:dyDescent="0.3">
      <c r="I589" s="11"/>
      <c r="V589" s="11"/>
    </row>
    <row r="590" spans="9:22" ht="14.25" customHeight="1" x14ac:dyDescent="0.3">
      <c r="I590" s="11"/>
      <c r="V590" s="11"/>
    </row>
    <row r="591" spans="9:22" ht="14.25" customHeight="1" x14ac:dyDescent="0.3">
      <c r="I591" s="11"/>
      <c r="V591" s="11"/>
    </row>
    <row r="592" spans="9:22" ht="14.25" customHeight="1" x14ac:dyDescent="0.3">
      <c r="I592" s="11"/>
      <c r="V592" s="11"/>
    </row>
    <row r="593" spans="9:22" ht="14.25" customHeight="1" x14ac:dyDescent="0.3">
      <c r="I593" s="11"/>
      <c r="V593" s="11"/>
    </row>
    <row r="594" spans="9:22" ht="14.25" customHeight="1" x14ac:dyDescent="0.3">
      <c r="I594" s="11"/>
      <c r="V594" s="11"/>
    </row>
    <row r="595" spans="9:22" ht="14.25" customHeight="1" x14ac:dyDescent="0.3">
      <c r="I595" s="11"/>
      <c r="V595" s="11"/>
    </row>
    <row r="596" spans="9:22" ht="14.25" customHeight="1" x14ac:dyDescent="0.3">
      <c r="I596" s="11"/>
      <c r="V596" s="11"/>
    </row>
    <row r="597" spans="9:22" ht="14.25" customHeight="1" x14ac:dyDescent="0.3">
      <c r="I597" s="11"/>
      <c r="V597" s="11"/>
    </row>
    <row r="598" spans="9:22" ht="14.25" customHeight="1" x14ac:dyDescent="0.3">
      <c r="I598" s="11"/>
      <c r="V598" s="11"/>
    </row>
    <row r="599" spans="9:22" ht="14.25" customHeight="1" x14ac:dyDescent="0.3">
      <c r="I599" s="11"/>
      <c r="V599" s="11"/>
    </row>
    <row r="600" spans="9:22" ht="14.25" customHeight="1" x14ac:dyDescent="0.3">
      <c r="I600" s="11"/>
      <c r="V600" s="11"/>
    </row>
    <row r="601" spans="9:22" ht="14.25" customHeight="1" x14ac:dyDescent="0.3">
      <c r="I601" s="11"/>
      <c r="V601" s="11"/>
    </row>
    <row r="602" spans="9:22" ht="14.25" customHeight="1" x14ac:dyDescent="0.3">
      <c r="I602" s="11"/>
      <c r="V602" s="11"/>
    </row>
    <row r="603" spans="9:22" ht="14.25" customHeight="1" x14ac:dyDescent="0.3">
      <c r="I603" s="11"/>
      <c r="V603" s="11"/>
    </row>
    <row r="604" spans="9:22" ht="14.25" customHeight="1" x14ac:dyDescent="0.3">
      <c r="I604" s="11"/>
      <c r="V604" s="11"/>
    </row>
    <row r="605" spans="9:22" ht="14.25" customHeight="1" x14ac:dyDescent="0.3">
      <c r="I605" s="11"/>
      <c r="V605" s="11"/>
    </row>
    <row r="606" spans="9:22" ht="14.25" customHeight="1" x14ac:dyDescent="0.3">
      <c r="I606" s="11"/>
      <c r="V606" s="11"/>
    </row>
    <row r="607" spans="9:22" ht="14.25" customHeight="1" x14ac:dyDescent="0.3">
      <c r="I607" s="11"/>
      <c r="V607" s="11"/>
    </row>
    <row r="608" spans="9:22" ht="14.25" customHeight="1" x14ac:dyDescent="0.3">
      <c r="I608" s="11"/>
      <c r="V608" s="11"/>
    </row>
    <row r="609" spans="9:22" ht="14.25" customHeight="1" x14ac:dyDescent="0.3">
      <c r="I609" s="11"/>
      <c r="V609" s="11"/>
    </row>
    <row r="610" spans="9:22" ht="14.25" customHeight="1" x14ac:dyDescent="0.3">
      <c r="I610" s="11"/>
      <c r="V610" s="11"/>
    </row>
    <row r="611" spans="9:22" ht="14.25" customHeight="1" x14ac:dyDescent="0.3">
      <c r="I611" s="11"/>
      <c r="V611" s="11"/>
    </row>
    <row r="612" spans="9:22" ht="14.25" customHeight="1" x14ac:dyDescent="0.3">
      <c r="I612" s="11"/>
      <c r="V612" s="11"/>
    </row>
    <row r="613" spans="9:22" ht="14.25" customHeight="1" x14ac:dyDescent="0.3">
      <c r="I613" s="11"/>
      <c r="V613" s="11"/>
    </row>
    <row r="614" spans="9:22" ht="14.25" customHeight="1" x14ac:dyDescent="0.3">
      <c r="I614" s="11"/>
      <c r="V614" s="11"/>
    </row>
    <row r="615" spans="9:22" ht="14.25" customHeight="1" x14ac:dyDescent="0.3">
      <c r="I615" s="11"/>
      <c r="V615" s="11"/>
    </row>
    <row r="616" spans="9:22" ht="14.25" customHeight="1" x14ac:dyDescent="0.3">
      <c r="I616" s="11"/>
      <c r="V616" s="11"/>
    </row>
    <row r="617" spans="9:22" ht="14.25" customHeight="1" x14ac:dyDescent="0.3">
      <c r="I617" s="11"/>
      <c r="V617" s="11"/>
    </row>
    <row r="618" spans="9:22" ht="14.25" customHeight="1" x14ac:dyDescent="0.3">
      <c r="I618" s="11"/>
      <c r="V618" s="11"/>
    </row>
    <row r="619" spans="9:22" ht="14.25" customHeight="1" x14ac:dyDescent="0.3">
      <c r="I619" s="11"/>
      <c r="V619" s="11"/>
    </row>
    <row r="620" spans="9:22" ht="14.25" customHeight="1" x14ac:dyDescent="0.3">
      <c r="I620" s="11"/>
      <c r="V620" s="11"/>
    </row>
    <row r="621" spans="9:22" ht="14.25" customHeight="1" x14ac:dyDescent="0.3">
      <c r="I621" s="11"/>
      <c r="V621" s="11"/>
    </row>
    <row r="622" spans="9:22" ht="14.25" customHeight="1" x14ac:dyDescent="0.3">
      <c r="I622" s="11"/>
      <c r="V622" s="11"/>
    </row>
    <row r="623" spans="9:22" ht="14.25" customHeight="1" x14ac:dyDescent="0.3">
      <c r="I623" s="11"/>
      <c r="V623" s="11"/>
    </row>
    <row r="624" spans="9:22" ht="14.25" customHeight="1" x14ac:dyDescent="0.3">
      <c r="I624" s="11"/>
      <c r="V624" s="11"/>
    </row>
    <row r="625" spans="9:22" ht="14.25" customHeight="1" x14ac:dyDescent="0.3">
      <c r="I625" s="11"/>
      <c r="V625" s="11"/>
    </row>
    <row r="626" spans="9:22" ht="14.25" customHeight="1" x14ac:dyDescent="0.3">
      <c r="I626" s="11"/>
      <c r="V626" s="11"/>
    </row>
    <row r="627" spans="9:22" ht="14.25" customHeight="1" x14ac:dyDescent="0.3">
      <c r="I627" s="11"/>
      <c r="V627" s="11"/>
    </row>
    <row r="628" spans="9:22" ht="14.25" customHeight="1" x14ac:dyDescent="0.3">
      <c r="I628" s="11"/>
      <c r="V628" s="11"/>
    </row>
    <row r="629" spans="9:22" ht="14.25" customHeight="1" x14ac:dyDescent="0.3">
      <c r="I629" s="11"/>
      <c r="V629" s="11"/>
    </row>
    <row r="630" spans="9:22" ht="14.25" customHeight="1" x14ac:dyDescent="0.3">
      <c r="I630" s="11"/>
      <c r="V630" s="11"/>
    </row>
    <row r="631" spans="9:22" ht="14.25" customHeight="1" x14ac:dyDescent="0.3">
      <c r="I631" s="11"/>
      <c r="V631" s="11"/>
    </row>
    <row r="632" spans="9:22" ht="14.25" customHeight="1" x14ac:dyDescent="0.3">
      <c r="I632" s="11"/>
      <c r="V632" s="11"/>
    </row>
    <row r="633" spans="9:22" ht="14.25" customHeight="1" x14ac:dyDescent="0.3">
      <c r="I633" s="11"/>
      <c r="V633" s="11"/>
    </row>
    <row r="634" spans="9:22" ht="14.25" customHeight="1" x14ac:dyDescent="0.3">
      <c r="I634" s="11"/>
      <c r="V634" s="11"/>
    </row>
    <row r="635" spans="9:22" ht="14.25" customHeight="1" x14ac:dyDescent="0.3">
      <c r="I635" s="11"/>
      <c r="V635" s="11"/>
    </row>
    <row r="636" spans="9:22" ht="14.25" customHeight="1" x14ac:dyDescent="0.3">
      <c r="I636" s="11"/>
      <c r="V636" s="11"/>
    </row>
    <row r="637" spans="9:22" ht="14.25" customHeight="1" x14ac:dyDescent="0.3">
      <c r="I637" s="11"/>
      <c r="V637" s="11"/>
    </row>
    <row r="638" spans="9:22" ht="14.25" customHeight="1" x14ac:dyDescent="0.3">
      <c r="I638" s="11"/>
      <c r="V638" s="11"/>
    </row>
    <row r="639" spans="9:22" ht="14.25" customHeight="1" x14ac:dyDescent="0.3">
      <c r="I639" s="11"/>
      <c r="V639" s="11"/>
    </row>
    <row r="640" spans="9:22" ht="14.25" customHeight="1" x14ac:dyDescent="0.3">
      <c r="I640" s="11"/>
      <c r="V640" s="11"/>
    </row>
    <row r="641" spans="9:22" ht="14.25" customHeight="1" x14ac:dyDescent="0.3">
      <c r="I641" s="11"/>
      <c r="V641" s="11"/>
    </row>
    <row r="642" spans="9:22" ht="14.25" customHeight="1" x14ac:dyDescent="0.3">
      <c r="I642" s="11"/>
      <c r="V642" s="11"/>
    </row>
    <row r="643" spans="9:22" ht="14.25" customHeight="1" x14ac:dyDescent="0.3">
      <c r="I643" s="11"/>
      <c r="V643" s="11"/>
    </row>
    <row r="644" spans="9:22" ht="14.25" customHeight="1" x14ac:dyDescent="0.3">
      <c r="I644" s="11"/>
      <c r="V644" s="11"/>
    </row>
    <row r="645" spans="9:22" ht="14.25" customHeight="1" x14ac:dyDescent="0.3">
      <c r="I645" s="11"/>
      <c r="V645" s="11"/>
    </row>
    <row r="646" spans="9:22" ht="14.25" customHeight="1" x14ac:dyDescent="0.3">
      <c r="I646" s="11"/>
      <c r="V646" s="11"/>
    </row>
    <row r="647" spans="9:22" ht="14.25" customHeight="1" x14ac:dyDescent="0.3">
      <c r="I647" s="11"/>
      <c r="V647" s="11"/>
    </row>
    <row r="648" spans="9:22" ht="14.25" customHeight="1" x14ac:dyDescent="0.3">
      <c r="I648" s="11"/>
      <c r="V648" s="11"/>
    </row>
    <row r="649" spans="9:22" ht="14.25" customHeight="1" x14ac:dyDescent="0.3">
      <c r="I649" s="11"/>
      <c r="V649" s="11"/>
    </row>
    <row r="650" spans="9:22" ht="14.25" customHeight="1" x14ac:dyDescent="0.3">
      <c r="I650" s="11"/>
      <c r="V650" s="11"/>
    </row>
    <row r="651" spans="9:22" ht="14.25" customHeight="1" x14ac:dyDescent="0.3">
      <c r="I651" s="11"/>
      <c r="V651" s="11"/>
    </row>
    <row r="652" spans="9:22" ht="14.25" customHeight="1" x14ac:dyDescent="0.3">
      <c r="I652" s="11"/>
      <c r="V652" s="11"/>
    </row>
    <row r="653" spans="9:22" ht="14.25" customHeight="1" x14ac:dyDescent="0.3">
      <c r="I653" s="11"/>
      <c r="V653" s="11"/>
    </row>
    <row r="654" spans="9:22" ht="14.25" customHeight="1" x14ac:dyDescent="0.3">
      <c r="I654" s="11"/>
      <c r="V654" s="11"/>
    </row>
    <row r="655" spans="9:22" ht="14.25" customHeight="1" x14ac:dyDescent="0.3">
      <c r="I655" s="11"/>
      <c r="V655" s="11"/>
    </row>
    <row r="656" spans="9:22" ht="14.25" customHeight="1" x14ac:dyDescent="0.3">
      <c r="I656" s="11"/>
      <c r="V656" s="11"/>
    </row>
    <row r="657" spans="9:22" ht="14.25" customHeight="1" x14ac:dyDescent="0.3">
      <c r="I657" s="11"/>
      <c r="V657" s="11"/>
    </row>
    <row r="658" spans="9:22" ht="14.25" customHeight="1" x14ac:dyDescent="0.3">
      <c r="I658" s="11"/>
      <c r="V658" s="11"/>
    </row>
    <row r="659" spans="9:22" ht="14.25" customHeight="1" x14ac:dyDescent="0.3">
      <c r="I659" s="11"/>
      <c r="V659" s="11"/>
    </row>
    <row r="660" spans="9:22" ht="14.25" customHeight="1" x14ac:dyDescent="0.3">
      <c r="I660" s="11"/>
      <c r="V660" s="11"/>
    </row>
    <row r="661" spans="9:22" ht="14.25" customHeight="1" x14ac:dyDescent="0.3">
      <c r="I661" s="11"/>
      <c r="V661" s="11"/>
    </row>
    <row r="662" spans="9:22" ht="14.25" customHeight="1" x14ac:dyDescent="0.3">
      <c r="I662" s="11"/>
      <c r="V662" s="11"/>
    </row>
    <row r="663" spans="9:22" ht="14.25" customHeight="1" x14ac:dyDescent="0.3">
      <c r="I663" s="11"/>
      <c r="V663" s="11"/>
    </row>
    <row r="664" spans="9:22" ht="14.25" customHeight="1" x14ac:dyDescent="0.3">
      <c r="I664" s="11"/>
      <c r="V664" s="11"/>
    </row>
    <row r="665" spans="9:22" ht="14.25" customHeight="1" x14ac:dyDescent="0.3">
      <c r="I665" s="11"/>
      <c r="V665" s="11"/>
    </row>
    <row r="666" spans="9:22" ht="14.25" customHeight="1" x14ac:dyDescent="0.3">
      <c r="I666" s="11"/>
      <c r="V666" s="11"/>
    </row>
    <row r="667" spans="9:22" ht="14.25" customHeight="1" x14ac:dyDescent="0.3">
      <c r="I667" s="11"/>
      <c r="V667" s="11"/>
    </row>
    <row r="668" spans="9:22" ht="14.25" customHeight="1" x14ac:dyDescent="0.3">
      <c r="I668" s="11"/>
      <c r="V668" s="11"/>
    </row>
    <row r="669" spans="9:22" ht="14.25" customHeight="1" x14ac:dyDescent="0.3">
      <c r="I669" s="11"/>
      <c r="V669" s="11"/>
    </row>
    <row r="670" spans="9:22" ht="14.25" customHeight="1" x14ac:dyDescent="0.3">
      <c r="I670" s="11"/>
      <c r="V670" s="11"/>
    </row>
    <row r="671" spans="9:22" ht="14.25" customHeight="1" x14ac:dyDescent="0.3">
      <c r="I671" s="11"/>
      <c r="V671" s="11"/>
    </row>
    <row r="672" spans="9:22" ht="14.25" customHeight="1" x14ac:dyDescent="0.3">
      <c r="I672" s="11"/>
      <c r="V672" s="11"/>
    </row>
    <row r="673" spans="9:22" ht="14.25" customHeight="1" x14ac:dyDescent="0.3">
      <c r="I673" s="11"/>
      <c r="V673" s="11"/>
    </row>
    <row r="674" spans="9:22" ht="14.25" customHeight="1" x14ac:dyDescent="0.3">
      <c r="I674" s="11"/>
      <c r="V674" s="11"/>
    </row>
    <row r="675" spans="9:22" ht="14.25" customHeight="1" x14ac:dyDescent="0.3">
      <c r="I675" s="11"/>
      <c r="V675" s="11"/>
    </row>
    <row r="676" spans="9:22" ht="14.25" customHeight="1" x14ac:dyDescent="0.3">
      <c r="I676" s="11"/>
      <c r="V676" s="11"/>
    </row>
    <row r="677" spans="9:22" ht="14.25" customHeight="1" x14ac:dyDescent="0.3">
      <c r="I677" s="11"/>
      <c r="V677" s="11"/>
    </row>
    <row r="678" spans="9:22" ht="14.25" customHeight="1" x14ac:dyDescent="0.3">
      <c r="I678" s="11"/>
      <c r="V678" s="11"/>
    </row>
    <row r="679" spans="9:22" ht="14.25" customHeight="1" x14ac:dyDescent="0.3">
      <c r="I679" s="11"/>
      <c r="V679" s="11"/>
    </row>
    <row r="680" spans="9:22" ht="14.25" customHeight="1" x14ac:dyDescent="0.3">
      <c r="I680" s="11"/>
      <c r="V680" s="11"/>
    </row>
    <row r="681" spans="9:22" ht="14.25" customHeight="1" x14ac:dyDescent="0.3">
      <c r="I681" s="11"/>
      <c r="V681" s="11"/>
    </row>
    <row r="682" spans="9:22" ht="14.25" customHeight="1" x14ac:dyDescent="0.3">
      <c r="I682" s="11"/>
      <c r="V682" s="11"/>
    </row>
    <row r="683" spans="9:22" ht="14.25" customHeight="1" x14ac:dyDescent="0.3">
      <c r="I683" s="11"/>
      <c r="V683" s="11"/>
    </row>
    <row r="684" spans="9:22" ht="14.25" customHeight="1" x14ac:dyDescent="0.3">
      <c r="I684" s="11"/>
      <c r="V684" s="11"/>
    </row>
    <row r="685" spans="9:22" ht="14.25" customHeight="1" x14ac:dyDescent="0.3">
      <c r="I685" s="11"/>
      <c r="V685" s="11"/>
    </row>
    <row r="686" spans="9:22" ht="14.25" customHeight="1" x14ac:dyDescent="0.3">
      <c r="I686" s="11"/>
      <c r="V686" s="11"/>
    </row>
    <row r="687" spans="9:22" ht="14.25" customHeight="1" x14ac:dyDescent="0.3">
      <c r="I687" s="11"/>
      <c r="V687" s="11"/>
    </row>
    <row r="688" spans="9:22" ht="14.25" customHeight="1" x14ac:dyDescent="0.3">
      <c r="I688" s="11"/>
      <c r="V688" s="11"/>
    </row>
    <row r="689" spans="9:22" ht="14.25" customHeight="1" x14ac:dyDescent="0.3">
      <c r="I689" s="11"/>
      <c r="V689" s="11"/>
    </row>
    <row r="690" spans="9:22" ht="14.25" customHeight="1" x14ac:dyDescent="0.3">
      <c r="I690" s="11"/>
      <c r="V690" s="11"/>
    </row>
    <row r="691" spans="9:22" ht="14.25" customHeight="1" x14ac:dyDescent="0.3">
      <c r="I691" s="11"/>
      <c r="V691" s="11"/>
    </row>
    <row r="692" spans="9:22" ht="14.25" customHeight="1" x14ac:dyDescent="0.3">
      <c r="I692" s="11"/>
      <c r="V692" s="11"/>
    </row>
    <row r="693" spans="9:22" ht="14.25" customHeight="1" x14ac:dyDescent="0.3">
      <c r="I693" s="11"/>
      <c r="V693" s="11"/>
    </row>
    <row r="694" spans="9:22" ht="14.25" customHeight="1" x14ac:dyDescent="0.3">
      <c r="I694" s="11"/>
      <c r="V694" s="11"/>
    </row>
    <row r="695" spans="9:22" ht="14.25" customHeight="1" x14ac:dyDescent="0.3">
      <c r="I695" s="11"/>
      <c r="V695" s="11"/>
    </row>
    <row r="696" spans="9:22" ht="14.25" customHeight="1" x14ac:dyDescent="0.3">
      <c r="I696" s="11"/>
      <c r="V696" s="11"/>
    </row>
    <row r="697" spans="9:22" ht="14.25" customHeight="1" x14ac:dyDescent="0.3">
      <c r="I697" s="11"/>
      <c r="V697" s="11"/>
    </row>
    <row r="698" spans="9:22" ht="14.25" customHeight="1" x14ac:dyDescent="0.3">
      <c r="I698" s="11"/>
      <c r="V698" s="11"/>
    </row>
    <row r="699" spans="9:22" ht="14.25" customHeight="1" x14ac:dyDescent="0.3">
      <c r="I699" s="11"/>
      <c r="V699" s="11"/>
    </row>
    <row r="700" spans="9:22" ht="14.25" customHeight="1" x14ac:dyDescent="0.3">
      <c r="I700" s="11"/>
      <c r="V700" s="11"/>
    </row>
    <row r="701" spans="9:22" ht="14.25" customHeight="1" x14ac:dyDescent="0.3">
      <c r="I701" s="11"/>
      <c r="V701" s="11"/>
    </row>
    <row r="702" spans="9:22" ht="14.25" customHeight="1" x14ac:dyDescent="0.3">
      <c r="I702" s="11"/>
      <c r="V702" s="11"/>
    </row>
    <row r="703" spans="9:22" ht="14.25" customHeight="1" x14ac:dyDescent="0.3">
      <c r="I703" s="11"/>
      <c r="V703" s="11"/>
    </row>
    <row r="704" spans="9:22" ht="14.25" customHeight="1" x14ac:dyDescent="0.3">
      <c r="I704" s="11"/>
      <c r="V704" s="11"/>
    </row>
    <row r="705" spans="9:22" ht="14.25" customHeight="1" x14ac:dyDescent="0.3">
      <c r="I705" s="11"/>
      <c r="V705" s="11"/>
    </row>
    <row r="706" spans="9:22" ht="14.25" customHeight="1" x14ac:dyDescent="0.3">
      <c r="I706" s="11"/>
      <c r="V706" s="11"/>
    </row>
    <row r="707" spans="9:22" ht="14.25" customHeight="1" x14ac:dyDescent="0.3">
      <c r="I707" s="11"/>
      <c r="V707" s="11"/>
    </row>
    <row r="708" spans="9:22" ht="14.25" customHeight="1" x14ac:dyDescent="0.3">
      <c r="I708" s="11"/>
      <c r="V708" s="11"/>
    </row>
    <row r="709" spans="9:22" ht="14.25" customHeight="1" x14ac:dyDescent="0.3">
      <c r="I709" s="11"/>
      <c r="V709" s="11"/>
    </row>
    <row r="710" spans="9:22" ht="14.25" customHeight="1" x14ac:dyDescent="0.3">
      <c r="I710" s="11"/>
      <c r="V710" s="11"/>
    </row>
    <row r="711" spans="9:22" ht="14.25" customHeight="1" x14ac:dyDescent="0.3">
      <c r="I711" s="11"/>
      <c r="V711" s="11"/>
    </row>
    <row r="712" spans="9:22" ht="14.25" customHeight="1" x14ac:dyDescent="0.3">
      <c r="I712" s="11"/>
      <c r="V712" s="11"/>
    </row>
    <row r="713" spans="9:22" ht="14.25" customHeight="1" x14ac:dyDescent="0.3">
      <c r="I713" s="11"/>
      <c r="V713" s="11"/>
    </row>
    <row r="714" spans="9:22" ht="14.25" customHeight="1" x14ac:dyDescent="0.3">
      <c r="I714" s="11"/>
      <c r="V714" s="11"/>
    </row>
    <row r="715" spans="9:22" ht="14.25" customHeight="1" x14ac:dyDescent="0.3">
      <c r="I715" s="11"/>
      <c r="V715" s="11"/>
    </row>
    <row r="716" spans="9:22" ht="14.25" customHeight="1" x14ac:dyDescent="0.3">
      <c r="I716" s="11"/>
      <c r="V716" s="11"/>
    </row>
    <row r="717" spans="9:22" ht="14.25" customHeight="1" x14ac:dyDescent="0.3">
      <c r="I717" s="11"/>
      <c r="V717" s="11"/>
    </row>
    <row r="718" spans="9:22" ht="14.25" customHeight="1" x14ac:dyDescent="0.3">
      <c r="I718" s="11"/>
      <c r="V718" s="11"/>
    </row>
    <row r="719" spans="9:22" ht="14.25" customHeight="1" x14ac:dyDescent="0.3">
      <c r="I719" s="11"/>
      <c r="V719" s="11"/>
    </row>
    <row r="720" spans="9:22" ht="14.25" customHeight="1" x14ac:dyDescent="0.3">
      <c r="I720" s="11"/>
      <c r="V720" s="11"/>
    </row>
    <row r="721" spans="9:22" ht="14.25" customHeight="1" x14ac:dyDescent="0.3">
      <c r="I721" s="11"/>
      <c r="V721" s="11"/>
    </row>
    <row r="722" spans="9:22" ht="14.25" customHeight="1" x14ac:dyDescent="0.3">
      <c r="I722" s="11"/>
      <c r="V722" s="11"/>
    </row>
    <row r="723" spans="9:22" ht="14.25" customHeight="1" x14ac:dyDescent="0.3">
      <c r="I723" s="11"/>
      <c r="V723" s="11"/>
    </row>
    <row r="724" spans="9:22" ht="14.25" customHeight="1" x14ac:dyDescent="0.3">
      <c r="I724" s="11"/>
      <c r="V724" s="11"/>
    </row>
    <row r="725" spans="9:22" ht="14.25" customHeight="1" x14ac:dyDescent="0.3">
      <c r="I725" s="11"/>
      <c r="V725" s="11"/>
    </row>
    <row r="726" spans="9:22" ht="14.25" customHeight="1" x14ac:dyDescent="0.3">
      <c r="I726" s="11"/>
      <c r="V726" s="11"/>
    </row>
    <row r="727" spans="9:22" ht="14.25" customHeight="1" x14ac:dyDescent="0.3">
      <c r="I727" s="11"/>
      <c r="V727" s="11"/>
    </row>
    <row r="728" spans="9:22" ht="14.25" customHeight="1" x14ac:dyDescent="0.3">
      <c r="I728" s="11"/>
      <c r="V728" s="11"/>
    </row>
    <row r="729" spans="9:22" ht="14.25" customHeight="1" x14ac:dyDescent="0.3">
      <c r="I729" s="11"/>
      <c r="V729" s="11"/>
    </row>
    <row r="730" spans="9:22" ht="14.25" customHeight="1" x14ac:dyDescent="0.3">
      <c r="I730" s="11"/>
      <c r="V730" s="11"/>
    </row>
    <row r="731" spans="9:22" ht="14.25" customHeight="1" x14ac:dyDescent="0.3">
      <c r="I731" s="11"/>
      <c r="V731" s="11"/>
    </row>
    <row r="732" spans="9:22" ht="14.25" customHeight="1" x14ac:dyDescent="0.3">
      <c r="I732" s="11"/>
      <c r="V732" s="11"/>
    </row>
    <row r="733" spans="9:22" ht="14.25" customHeight="1" x14ac:dyDescent="0.3">
      <c r="I733" s="11"/>
      <c r="V733" s="11"/>
    </row>
    <row r="734" spans="9:22" ht="14.25" customHeight="1" x14ac:dyDescent="0.3">
      <c r="I734" s="11"/>
      <c r="V734" s="11"/>
    </row>
    <row r="735" spans="9:22" ht="14.25" customHeight="1" x14ac:dyDescent="0.3">
      <c r="I735" s="11"/>
      <c r="V735" s="11"/>
    </row>
    <row r="736" spans="9:22" ht="14.25" customHeight="1" x14ac:dyDescent="0.3">
      <c r="I736" s="11"/>
      <c r="V736" s="11"/>
    </row>
    <row r="737" spans="9:22" ht="14.25" customHeight="1" x14ac:dyDescent="0.3">
      <c r="I737" s="11"/>
      <c r="V737" s="11"/>
    </row>
    <row r="738" spans="9:22" ht="14.25" customHeight="1" x14ac:dyDescent="0.3">
      <c r="I738" s="11"/>
      <c r="V738" s="11"/>
    </row>
    <row r="739" spans="9:22" ht="14.25" customHeight="1" x14ac:dyDescent="0.3">
      <c r="I739" s="11"/>
      <c r="V739" s="11"/>
    </row>
    <row r="740" spans="9:22" ht="14.25" customHeight="1" x14ac:dyDescent="0.3">
      <c r="I740" s="11"/>
      <c r="V740" s="11"/>
    </row>
    <row r="741" spans="9:22" ht="14.25" customHeight="1" x14ac:dyDescent="0.3">
      <c r="I741" s="11"/>
      <c r="V741" s="11"/>
    </row>
    <row r="742" spans="9:22" ht="14.25" customHeight="1" x14ac:dyDescent="0.3">
      <c r="I742" s="11"/>
      <c r="V742" s="11"/>
    </row>
    <row r="743" spans="9:22" ht="14.25" customHeight="1" x14ac:dyDescent="0.3">
      <c r="I743" s="11"/>
      <c r="V743" s="11"/>
    </row>
    <row r="744" spans="9:22" ht="14.25" customHeight="1" x14ac:dyDescent="0.3">
      <c r="I744" s="11"/>
      <c r="V744" s="11"/>
    </row>
    <row r="745" spans="9:22" ht="14.25" customHeight="1" x14ac:dyDescent="0.3">
      <c r="I745" s="11"/>
      <c r="V745" s="11"/>
    </row>
    <row r="746" spans="9:22" ht="14.25" customHeight="1" x14ac:dyDescent="0.3">
      <c r="I746" s="11"/>
      <c r="V746" s="11"/>
    </row>
    <row r="747" spans="9:22" ht="14.25" customHeight="1" x14ac:dyDescent="0.3">
      <c r="I747" s="11"/>
      <c r="V747" s="11"/>
    </row>
    <row r="748" spans="9:22" ht="14.25" customHeight="1" x14ac:dyDescent="0.3">
      <c r="I748" s="11"/>
      <c r="V748" s="11"/>
    </row>
    <row r="749" spans="9:22" ht="14.25" customHeight="1" x14ac:dyDescent="0.3">
      <c r="I749" s="11"/>
      <c r="V749" s="11"/>
    </row>
    <row r="750" spans="9:22" ht="14.25" customHeight="1" x14ac:dyDescent="0.3">
      <c r="I750" s="11"/>
      <c r="V750" s="11"/>
    </row>
    <row r="751" spans="9:22" ht="14.25" customHeight="1" x14ac:dyDescent="0.3">
      <c r="I751" s="11"/>
      <c r="V751" s="11"/>
    </row>
    <row r="752" spans="9:22" ht="14.25" customHeight="1" x14ac:dyDescent="0.3">
      <c r="I752" s="11"/>
      <c r="V752" s="11"/>
    </row>
    <row r="753" spans="9:22" ht="14.25" customHeight="1" x14ac:dyDescent="0.3">
      <c r="I753" s="11"/>
      <c r="V753" s="11"/>
    </row>
    <row r="754" spans="9:22" ht="14.25" customHeight="1" x14ac:dyDescent="0.3">
      <c r="I754" s="11"/>
      <c r="V754" s="11"/>
    </row>
    <row r="755" spans="9:22" ht="14.25" customHeight="1" x14ac:dyDescent="0.3">
      <c r="I755" s="11"/>
      <c r="V755" s="11"/>
    </row>
    <row r="756" spans="9:22" ht="14.25" customHeight="1" x14ac:dyDescent="0.3">
      <c r="I756" s="11"/>
      <c r="V756" s="11"/>
    </row>
    <row r="757" spans="9:22" ht="14.25" customHeight="1" x14ac:dyDescent="0.3">
      <c r="I757" s="11"/>
      <c r="V757" s="11"/>
    </row>
    <row r="758" spans="9:22" ht="14.25" customHeight="1" x14ac:dyDescent="0.3">
      <c r="I758" s="11"/>
      <c r="V758" s="11"/>
    </row>
    <row r="759" spans="9:22" ht="14.25" customHeight="1" x14ac:dyDescent="0.3">
      <c r="I759" s="11"/>
      <c r="V759" s="11"/>
    </row>
    <row r="760" spans="9:22" ht="14.25" customHeight="1" x14ac:dyDescent="0.3">
      <c r="I760" s="11"/>
      <c r="V760" s="11"/>
    </row>
    <row r="761" spans="9:22" ht="14.25" customHeight="1" x14ac:dyDescent="0.3">
      <c r="I761" s="11"/>
      <c r="V761" s="11"/>
    </row>
    <row r="762" spans="9:22" ht="14.25" customHeight="1" x14ac:dyDescent="0.3">
      <c r="I762" s="11"/>
      <c r="V762" s="11"/>
    </row>
    <row r="763" spans="9:22" ht="14.25" customHeight="1" x14ac:dyDescent="0.3">
      <c r="I763" s="11"/>
      <c r="V763" s="11"/>
    </row>
    <row r="764" spans="9:22" ht="14.25" customHeight="1" x14ac:dyDescent="0.3">
      <c r="I764" s="11"/>
      <c r="V764" s="11"/>
    </row>
    <row r="765" spans="9:22" ht="14.25" customHeight="1" x14ac:dyDescent="0.3">
      <c r="I765" s="11"/>
      <c r="V765" s="11"/>
    </row>
    <row r="766" spans="9:22" ht="14.25" customHeight="1" x14ac:dyDescent="0.3">
      <c r="I766" s="11"/>
      <c r="V766" s="11"/>
    </row>
    <row r="767" spans="9:22" ht="14.25" customHeight="1" x14ac:dyDescent="0.3">
      <c r="I767" s="11"/>
      <c r="V767" s="11"/>
    </row>
    <row r="768" spans="9:22" ht="14.25" customHeight="1" x14ac:dyDescent="0.3">
      <c r="I768" s="11"/>
      <c r="V768" s="11"/>
    </row>
    <row r="769" spans="9:22" ht="14.25" customHeight="1" x14ac:dyDescent="0.3">
      <c r="I769" s="11"/>
      <c r="V769" s="11"/>
    </row>
    <row r="770" spans="9:22" ht="14.25" customHeight="1" x14ac:dyDescent="0.3">
      <c r="I770" s="11"/>
      <c r="V770" s="11"/>
    </row>
    <row r="771" spans="9:22" ht="14.25" customHeight="1" x14ac:dyDescent="0.3">
      <c r="I771" s="11"/>
      <c r="V771" s="11"/>
    </row>
    <row r="772" spans="9:22" ht="14.25" customHeight="1" x14ac:dyDescent="0.3">
      <c r="I772" s="11"/>
      <c r="V772" s="11"/>
    </row>
    <row r="773" spans="9:22" ht="14.25" customHeight="1" x14ac:dyDescent="0.3">
      <c r="I773" s="11"/>
      <c r="V773" s="11"/>
    </row>
    <row r="774" spans="9:22" ht="14.25" customHeight="1" x14ac:dyDescent="0.3">
      <c r="I774" s="11"/>
      <c r="V774" s="11"/>
    </row>
    <row r="775" spans="9:22" ht="14.25" customHeight="1" x14ac:dyDescent="0.3">
      <c r="I775" s="11"/>
      <c r="V775" s="11"/>
    </row>
    <row r="776" spans="9:22" ht="14.25" customHeight="1" x14ac:dyDescent="0.3">
      <c r="I776" s="11"/>
      <c r="V776" s="11"/>
    </row>
    <row r="777" spans="9:22" ht="14.25" customHeight="1" x14ac:dyDescent="0.3">
      <c r="I777" s="11"/>
      <c r="V777" s="11"/>
    </row>
    <row r="778" spans="9:22" ht="14.25" customHeight="1" x14ac:dyDescent="0.3">
      <c r="I778" s="11"/>
      <c r="V778" s="11"/>
    </row>
    <row r="779" spans="9:22" ht="14.25" customHeight="1" x14ac:dyDescent="0.3">
      <c r="I779" s="11"/>
      <c r="V779" s="11"/>
    </row>
    <row r="780" spans="9:22" ht="14.25" customHeight="1" x14ac:dyDescent="0.3">
      <c r="I780" s="11"/>
      <c r="V780" s="11"/>
    </row>
    <row r="781" spans="9:22" ht="14.25" customHeight="1" x14ac:dyDescent="0.3">
      <c r="I781" s="11"/>
      <c r="V781" s="11"/>
    </row>
    <row r="782" spans="9:22" ht="14.25" customHeight="1" x14ac:dyDescent="0.3">
      <c r="I782" s="11"/>
      <c r="V782" s="11"/>
    </row>
    <row r="783" spans="9:22" ht="14.25" customHeight="1" x14ac:dyDescent="0.3">
      <c r="I783" s="11"/>
      <c r="V783" s="11"/>
    </row>
    <row r="784" spans="9:22" ht="14.25" customHeight="1" x14ac:dyDescent="0.3">
      <c r="I784" s="11"/>
      <c r="V784" s="11"/>
    </row>
    <row r="785" spans="9:22" ht="14.25" customHeight="1" x14ac:dyDescent="0.3">
      <c r="I785" s="11"/>
      <c r="V785" s="11"/>
    </row>
    <row r="786" spans="9:22" ht="14.25" customHeight="1" x14ac:dyDescent="0.3">
      <c r="I786" s="11"/>
      <c r="V786" s="11"/>
    </row>
    <row r="787" spans="9:22" ht="14.25" customHeight="1" x14ac:dyDescent="0.3">
      <c r="I787" s="11"/>
      <c r="V787" s="11"/>
    </row>
    <row r="788" spans="9:22" ht="14.25" customHeight="1" x14ac:dyDescent="0.3">
      <c r="I788" s="11"/>
      <c r="V788" s="11"/>
    </row>
    <row r="789" spans="9:22" ht="14.25" customHeight="1" x14ac:dyDescent="0.3">
      <c r="I789" s="11"/>
      <c r="V789" s="11"/>
    </row>
    <row r="790" spans="9:22" ht="14.25" customHeight="1" x14ac:dyDescent="0.3">
      <c r="I790" s="11"/>
      <c r="V790" s="11"/>
    </row>
    <row r="791" spans="9:22" ht="14.25" customHeight="1" x14ac:dyDescent="0.3">
      <c r="I791" s="11"/>
      <c r="V791" s="11"/>
    </row>
    <row r="792" spans="9:22" ht="14.25" customHeight="1" x14ac:dyDescent="0.3">
      <c r="I792" s="11"/>
      <c r="V792" s="11"/>
    </row>
    <row r="793" spans="9:22" ht="14.25" customHeight="1" x14ac:dyDescent="0.3">
      <c r="I793" s="11"/>
      <c r="V793" s="11"/>
    </row>
    <row r="794" spans="9:22" ht="14.25" customHeight="1" x14ac:dyDescent="0.3">
      <c r="I794" s="11"/>
      <c r="V794" s="11"/>
    </row>
    <row r="795" spans="9:22" ht="14.25" customHeight="1" x14ac:dyDescent="0.3">
      <c r="I795" s="11"/>
      <c r="V795" s="11"/>
    </row>
    <row r="796" spans="9:22" ht="14.25" customHeight="1" x14ac:dyDescent="0.3">
      <c r="I796" s="11"/>
      <c r="V796" s="11"/>
    </row>
    <row r="797" spans="9:22" ht="14.25" customHeight="1" x14ac:dyDescent="0.3">
      <c r="I797" s="11"/>
      <c r="V797" s="11"/>
    </row>
    <row r="798" spans="9:22" ht="14.25" customHeight="1" x14ac:dyDescent="0.3">
      <c r="I798" s="11"/>
      <c r="V798" s="11"/>
    </row>
    <row r="799" spans="9:22" ht="14.25" customHeight="1" x14ac:dyDescent="0.3">
      <c r="I799" s="11"/>
      <c r="V799" s="11"/>
    </row>
    <row r="800" spans="9:22" ht="14.25" customHeight="1" x14ac:dyDescent="0.3">
      <c r="I800" s="11"/>
      <c r="V800" s="11"/>
    </row>
    <row r="801" spans="9:22" ht="14.25" customHeight="1" x14ac:dyDescent="0.3">
      <c r="I801" s="11"/>
      <c r="V801" s="11"/>
    </row>
    <row r="802" spans="9:22" ht="14.25" customHeight="1" x14ac:dyDescent="0.3">
      <c r="I802" s="11"/>
      <c r="V802" s="11"/>
    </row>
    <row r="803" spans="9:22" ht="14.25" customHeight="1" x14ac:dyDescent="0.3">
      <c r="I803" s="11"/>
      <c r="V803" s="11"/>
    </row>
    <row r="804" spans="9:22" ht="14.25" customHeight="1" x14ac:dyDescent="0.3">
      <c r="I804" s="11"/>
      <c r="V804" s="11"/>
    </row>
    <row r="805" spans="9:22" ht="14.25" customHeight="1" x14ac:dyDescent="0.3">
      <c r="I805" s="11"/>
      <c r="V805" s="11"/>
    </row>
    <row r="806" spans="9:22" ht="14.25" customHeight="1" x14ac:dyDescent="0.3">
      <c r="I806" s="11"/>
      <c r="V806" s="11"/>
    </row>
    <row r="807" spans="9:22" ht="14.25" customHeight="1" x14ac:dyDescent="0.3">
      <c r="I807" s="11"/>
      <c r="V807" s="11"/>
    </row>
    <row r="808" spans="9:22" ht="14.25" customHeight="1" x14ac:dyDescent="0.3">
      <c r="I808" s="11"/>
      <c r="V808" s="11"/>
    </row>
    <row r="809" spans="9:22" ht="14.25" customHeight="1" x14ac:dyDescent="0.3">
      <c r="I809" s="11"/>
      <c r="V809" s="11"/>
    </row>
    <row r="810" spans="9:22" ht="14.25" customHeight="1" x14ac:dyDescent="0.3">
      <c r="I810" s="11"/>
      <c r="V810" s="11"/>
    </row>
    <row r="811" spans="9:22" ht="14.25" customHeight="1" x14ac:dyDescent="0.3">
      <c r="I811" s="11"/>
      <c r="V811" s="11"/>
    </row>
    <row r="812" spans="9:22" ht="14.25" customHeight="1" x14ac:dyDescent="0.3">
      <c r="I812" s="11"/>
      <c r="V812" s="11"/>
    </row>
    <row r="813" spans="9:22" ht="14.25" customHeight="1" x14ac:dyDescent="0.3">
      <c r="I813" s="11"/>
      <c r="V813" s="11"/>
    </row>
    <row r="814" spans="9:22" ht="14.25" customHeight="1" x14ac:dyDescent="0.3">
      <c r="I814" s="11"/>
      <c r="V814" s="11"/>
    </row>
    <row r="815" spans="9:22" ht="14.25" customHeight="1" x14ac:dyDescent="0.3">
      <c r="I815" s="11"/>
      <c r="V815" s="11"/>
    </row>
    <row r="816" spans="9:22" ht="14.25" customHeight="1" x14ac:dyDescent="0.3">
      <c r="I816" s="11"/>
      <c r="V816" s="11"/>
    </row>
    <row r="817" spans="9:22" ht="14.25" customHeight="1" x14ac:dyDescent="0.3">
      <c r="I817" s="11"/>
      <c r="V817" s="11"/>
    </row>
    <row r="818" spans="9:22" ht="14.25" customHeight="1" x14ac:dyDescent="0.3">
      <c r="I818" s="11"/>
      <c r="V818" s="11"/>
    </row>
    <row r="819" spans="9:22" ht="14.25" customHeight="1" x14ac:dyDescent="0.3">
      <c r="I819" s="11"/>
      <c r="V819" s="11"/>
    </row>
    <row r="820" spans="9:22" ht="14.25" customHeight="1" x14ac:dyDescent="0.3">
      <c r="I820" s="11"/>
      <c r="V820" s="11"/>
    </row>
    <row r="821" spans="9:22" ht="14.25" customHeight="1" x14ac:dyDescent="0.3">
      <c r="I821" s="11"/>
      <c r="V821" s="11"/>
    </row>
    <row r="822" spans="9:22" ht="14.25" customHeight="1" x14ac:dyDescent="0.3">
      <c r="I822" s="11"/>
      <c r="V822" s="11"/>
    </row>
    <row r="823" spans="9:22" ht="14.25" customHeight="1" x14ac:dyDescent="0.3">
      <c r="I823" s="11"/>
      <c r="V823" s="11"/>
    </row>
    <row r="824" spans="9:22" ht="14.25" customHeight="1" x14ac:dyDescent="0.3">
      <c r="I824" s="11"/>
      <c r="V824" s="11"/>
    </row>
    <row r="825" spans="9:22" ht="14.25" customHeight="1" x14ac:dyDescent="0.3">
      <c r="I825" s="11"/>
      <c r="V825" s="11"/>
    </row>
    <row r="826" spans="9:22" ht="14.25" customHeight="1" x14ac:dyDescent="0.3">
      <c r="I826" s="11"/>
      <c r="V826" s="11"/>
    </row>
    <row r="827" spans="9:22" ht="14.25" customHeight="1" x14ac:dyDescent="0.3">
      <c r="I827" s="11"/>
      <c r="V827" s="11"/>
    </row>
    <row r="828" spans="9:22" ht="14.25" customHeight="1" x14ac:dyDescent="0.3">
      <c r="I828" s="11"/>
      <c r="V828" s="11"/>
    </row>
    <row r="829" spans="9:22" ht="14.25" customHeight="1" x14ac:dyDescent="0.3">
      <c r="I829" s="11"/>
      <c r="V829" s="11"/>
    </row>
    <row r="830" spans="9:22" ht="14.25" customHeight="1" x14ac:dyDescent="0.3">
      <c r="I830" s="11"/>
      <c r="V830" s="11"/>
    </row>
    <row r="831" spans="9:22" ht="14.25" customHeight="1" x14ac:dyDescent="0.3">
      <c r="I831" s="11"/>
      <c r="V831" s="11"/>
    </row>
    <row r="832" spans="9:22" ht="14.25" customHeight="1" x14ac:dyDescent="0.3">
      <c r="I832" s="11"/>
      <c r="V832" s="11"/>
    </row>
    <row r="833" spans="9:22" ht="14.25" customHeight="1" x14ac:dyDescent="0.3">
      <c r="I833" s="11"/>
      <c r="V833" s="11"/>
    </row>
    <row r="834" spans="9:22" ht="14.25" customHeight="1" x14ac:dyDescent="0.3">
      <c r="I834" s="11"/>
      <c r="V834" s="11"/>
    </row>
    <row r="835" spans="9:22" ht="14.25" customHeight="1" x14ac:dyDescent="0.3">
      <c r="I835" s="11"/>
      <c r="V835" s="11"/>
    </row>
    <row r="836" spans="9:22" ht="14.25" customHeight="1" x14ac:dyDescent="0.3">
      <c r="I836" s="11"/>
      <c r="V836" s="11"/>
    </row>
    <row r="837" spans="9:22" ht="14.25" customHeight="1" x14ac:dyDescent="0.3">
      <c r="I837" s="11"/>
      <c r="V837" s="11"/>
    </row>
    <row r="838" spans="9:22" ht="14.25" customHeight="1" x14ac:dyDescent="0.3">
      <c r="I838" s="11"/>
      <c r="V838" s="11"/>
    </row>
    <row r="839" spans="9:22" ht="14.25" customHeight="1" x14ac:dyDescent="0.3">
      <c r="I839" s="11"/>
      <c r="V839" s="11"/>
    </row>
    <row r="840" spans="9:22" ht="14.25" customHeight="1" x14ac:dyDescent="0.3">
      <c r="I840" s="11"/>
      <c r="V840" s="11"/>
    </row>
    <row r="841" spans="9:22" ht="14.25" customHeight="1" x14ac:dyDescent="0.3">
      <c r="I841" s="11"/>
      <c r="V841" s="11"/>
    </row>
    <row r="842" spans="9:22" ht="14.25" customHeight="1" x14ac:dyDescent="0.3">
      <c r="I842" s="11"/>
      <c r="V842" s="11"/>
    </row>
    <row r="843" spans="9:22" ht="14.25" customHeight="1" x14ac:dyDescent="0.3">
      <c r="I843" s="11"/>
      <c r="V843" s="11"/>
    </row>
    <row r="844" spans="9:22" ht="14.25" customHeight="1" x14ac:dyDescent="0.3">
      <c r="I844" s="11"/>
      <c r="V844" s="11"/>
    </row>
    <row r="845" spans="9:22" ht="14.25" customHeight="1" x14ac:dyDescent="0.3">
      <c r="I845" s="11"/>
      <c r="V845" s="11"/>
    </row>
    <row r="846" spans="9:22" ht="14.25" customHeight="1" x14ac:dyDescent="0.3">
      <c r="I846" s="11"/>
      <c r="V846" s="11"/>
    </row>
    <row r="847" spans="9:22" ht="14.25" customHeight="1" x14ac:dyDescent="0.3">
      <c r="I847" s="11"/>
      <c r="V847" s="11"/>
    </row>
    <row r="848" spans="9:22" ht="14.25" customHeight="1" x14ac:dyDescent="0.3">
      <c r="I848" s="11"/>
      <c r="V848" s="11"/>
    </row>
    <row r="849" spans="9:22" ht="14.25" customHeight="1" x14ac:dyDescent="0.3">
      <c r="I849" s="11"/>
      <c r="V849" s="11"/>
    </row>
    <row r="850" spans="9:22" ht="14.25" customHeight="1" x14ac:dyDescent="0.3">
      <c r="I850" s="11"/>
      <c r="V850" s="11"/>
    </row>
    <row r="851" spans="9:22" ht="14.25" customHeight="1" x14ac:dyDescent="0.3">
      <c r="I851" s="11"/>
      <c r="V851" s="11"/>
    </row>
    <row r="852" spans="9:22" ht="14.25" customHeight="1" x14ac:dyDescent="0.3">
      <c r="I852" s="11"/>
      <c r="V852" s="11"/>
    </row>
    <row r="853" spans="9:22" ht="14.25" customHeight="1" x14ac:dyDescent="0.3">
      <c r="I853" s="11"/>
      <c r="V853" s="11"/>
    </row>
    <row r="854" spans="9:22" ht="14.25" customHeight="1" x14ac:dyDescent="0.3">
      <c r="I854" s="11"/>
      <c r="V854" s="11"/>
    </row>
    <row r="855" spans="9:22" ht="14.25" customHeight="1" x14ac:dyDescent="0.3">
      <c r="I855" s="11"/>
      <c r="V855" s="11"/>
    </row>
    <row r="856" spans="9:22" ht="14.25" customHeight="1" x14ac:dyDescent="0.3">
      <c r="I856" s="11"/>
      <c r="V856" s="11"/>
    </row>
    <row r="857" spans="9:22" ht="14.25" customHeight="1" x14ac:dyDescent="0.3">
      <c r="I857" s="11"/>
      <c r="V857" s="11"/>
    </row>
    <row r="858" spans="9:22" ht="14.25" customHeight="1" x14ac:dyDescent="0.3">
      <c r="I858" s="11"/>
      <c r="V858" s="11"/>
    </row>
    <row r="859" spans="9:22" ht="14.25" customHeight="1" x14ac:dyDescent="0.3">
      <c r="I859" s="11"/>
      <c r="V859" s="11"/>
    </row>
    <row r="860" spans="9:22" ht="14.25" customHeight="1" x14ac:dyDescent="0.3">
      <c r="I860" s="11"/>
      <c r="V860" s="11"/>
    </row>
    <row r="861" spans="9:22" ht="14.25" customHeight="1" x14ac:dyDescent="0.3">
      <c r="I861" s="11"/>
      <c r="V861" s="11"/>
    </row>
    <row r="862" spans="9:22" ht="14.25" customHeight="1" x14ac:dyDescent="0.3">
      <c r="I862" s="11"/>
      <c r="V862" s="11"/>
    </row>
    <row r="863" spans="9:22" ht="14.25" customHeight="1" x14ac:dyDescent="0.3">
      <c r="I863" s="11"/>
      <c r="V863" s="11"/>
    </row>
    <row r="864" spans="9:22" ht="14.25" customHeight="1" x14ac:dyDescent="0.3">
      <c r="I864" s="11"/>
      <c r="V864" s="11"/>
    </row>
    <row r="865" spans="9:22" ht="14.25" customHeight="1" x14ac:dyDescent="0.3">
      <c r="I865" s="11"/>
      <c r="V865" s="11"/>
    </row>
    <row r="866" spans="9:22" ht="14.25" customHeight="1" x14ac:dyDescent="0.3">
      <c r="I866" s="11"/>
      <c r="V866" s="11"/>
    </row>
    <row r="867" spans="9:22" ht="14.25" customHeight="1" x14ac:dyDescent="0.3">
      <c r="I867" s="11"/>
      <c r="V867" s="11"/>
    </row>
    <row r="868" spans="9:22" ht="14.25" customHeight="1" x14ac:dyDescent="0.3">
      <c r="I868" s="11"/>
      <c r="V868" s="11"/>
    </row>
    <row r="869" spans="9:22" ht="14.25" customHeight="1" x14ac:dyDescent="0.3">
      <c r="I869" s="11"/>
      <c r="V869" s="11"/>
    </row>
    <row r="870" spans="9:22" ht="14.25" customHeight="1" x14ac:dyDescent="0.3">
      <c r="I870" s="11"/>
      <c r="V870" s="11"/>
    </row>
    <row r="871" spans="9:22" ht="14.25" customHeight="1" x14ac:dyDescent="0.3">
      <c r="I871" s="11"/>
      <c r="V871" s="11"/>
    </row>
    <row r="872" spans="9:22" ht="14.25" customHeight="1" x14ac:dyDescent="0.3">
      <c r="I872" s="11"/>
      <c r="V872" s="11"/>
    </row>
    <row r="873" spans="9:22" ht="14.25" customHeight="1" x14ac:dyDescent="0.3">
      <c r="I873" s="11"/>
      <c r="V873" s="11"/>
    </row>
    <row r="874" spans="9:22" ht="14.25" customHeight="1" x14ac:dyDescent="0.3">
      <c r="I874" s="11"/>
      <c r="V874" s="11"/>
    </row>
    <row r="875" spans="9:22" ht="14.25" customHeight="1" x14ac:dyDescent="0.3">
      <c r="I875" s="11"/>
      <c r="V875" s="11"/>
    </row>
    <row r="876" spans="9:22" ht="14.25" customHeight="1" x14ac:dyDescent="0.3">
      <c r="I876" s="11"/>
      <c r="V876" s="11"/>
    </row>
    <row r="877" spans="9:22" ht="14.25" customHeight="1" x14ac:dyDescent="0.3">
      <c r="I877" s="11"/>
      <c r="V877" s="11"/>
    </row>
    <row r="878" spans="9:22" ht="14.25" customHeight="1" x14ac:dyDescent="0.3">
      <c r="I878" s="11"/>
      <c r="V878" s="11"/>
    </row>
    <row r="879" spans="9:22" ht="14.25" customHeight="1" x14ac:dyDescent="0.3">
      <c r="I879" s="11"/>
      <c r="V879" s="11"/>
    </row>
    <row r="880" spans="9:22" ht="14.25" customHeight="1" x14ac:dyDescent="0.3">
      <c r="I880" s="11"/>
      <c r="V880" s="11"/>
    </row>
    <row r="881" spans="9:22" ht="14.25" customHeight="1" x14ac:dyDescent="0.3">
      <c r="I881" s="11"/>
      <c r="V881" s="11"/>
    </row>
    <row r="882" spans="9:22" ht="14.25" customHeight="1" x14ac:dyDescent="0.3">
      <c r="I882" s="11"/>
      <c r="V882" s="11"/>
    </row>
    <row r="883" spans="9:22" ht="14.25" customHeight="1" x14ac:dyDescent="0.3">
      <c r="I883" s="11"/>
      <c r="V883" s="11"/>
    </row>
    <row r="884" spans="9:22" ht="14.25" customHeight="1" x14ac:dyDescent="0.3">
      <c r="I884" s="11"/>
      <c r="V884" s="11"/>
    </row>
    <row r="885" spans="9:22" ht="14.25" customHeight="1" x14ac:dyDescent="0.3">
      <c r="I885" s="11"/>
      <c r="V885" s="11"/>
    </row>
    <row r="886" spans="9:22" ht="14.25" customHeight="1" x14ac:dyDescent="0.3">
      <c r="I886" s="11"/>
      <c r="V886" s="11"/>
    </row>
    <row r="887" spans="9:22" ht="14.25" customHeight="1" x14ac:dyDescent="0.3">
      <c r="I887" s="11"/>
      <c r="V887" s="11"/>
    </row>
    <row r="888" spans="9:22" ht="14.25" customHeight="1" x14ac:dyDescent="0.3">
      <c r="I888" s="11"/>
      <c r="V888" s="11"/>
    </row>
    <row r="889" spans="9:22" ht="14.25" customHeight="1" x14ac:dyDescent="0.3">
      <c r="I889" s="11"/>
      <c r="V889" s="11"/>
    </row>
    <row r="890" spans="9:22" ht="14.25" customHeight="1" x14ac:dyDescent="0.3">
      <c r="I890" s="11"/>
      <c r="V890" s="11"/>
    </row>
    <row r="891" spans="9:22" ht="14.25" customHeight="1" x14ac:dyDescent="0.3">
      <c r="I891" s="11"/>
      <c r="V891" s="11"/>
    </row>
    <row r="892" spans="9:22" ht="14.25" customHeight="1" x14ac:dyDescent="0.3">
      <c r="I892" s="11"/>
      <c r="V892" s="11"/>
    </row>
    <row r="893" spans="9:22" ht="14.25" customHeight="1" x14ac:dyDescent="0.3">
      <c r="I893" s="11"/>
      <c r="V893" s="11"/>
    </row>
    <row r="894" spans="9:22" ht="14.25" customHeight="1" x14ac:dyDescent="0.3">
      <c r="I894" s="11"/>
      <c r="V894" s="11"/>
    </row>
    <row r="895" spans="9:22" ht="14.25" customHeight="1" x14ac:dyDescent="0.3">
      <c r="I895" s="11"/>
      <c r="V895" s="11"/>
    </row>
    <row r="896" spans="9:22" ht="14.25" customHeight="1" x14ac:dyDescent="0.3">
      <c r="I896" s="11"/>
      <c r="V896" s="11"/>
    </row>
    <row r="897" spans="9:22" ht="14.25" customHeight="1" x14ac:dyDescent="0.3">
      <c r="I897" s="11"/>
      <c r="V897" s="11"/>
    </row>
    <row r="898" spans="9:22" ht="14.25" customHeight="1" x14ac:dyDescent="0.3">
      <c r="I898" s="11"/>
      <c r="V898" s="11"/>
    </row>
    <row r="899" spans="9:22" ht="14.25" customHeight="1" x14ac:dyDescent="0.3">
      <c r="I899" s="11"/>
      <c r="V899" s="11"/>
    </row>
    <row r="900" spans="9:22" ht="14.25" customHeight="1" x14ac:dyDescent="0.3">
      <c r="I900" s="11"/>
      <c r="V900" s="11"/>
    </row>
    <row r="901" spans="9:22" ht="14.25" customHeight="1" x14ac:dyDescent="0.3">
      <c r="I901" s="11"/>
      <c r="V901" s="11"/>
    </row>
    <row r="902" spans="9:22" ht="14.25" customHeight="1" x14ac:dyDescent="0.3">
      <c r="I902" s="11"/>
      <c r="V902" s="11"/>
    </row>
    <row r="903" spans="9:22" ht="14.25" customHeight="1" x14ac:dyDescent="0.3">
      <c r="I903" s="11"/>
      <c r="V903" s="11"/>
    </row>
    <row r="904" spans="9:22" ht="14.25" customHeight="1" x14ac:dyDescent="0.3">
      <c r="I904" s="11"/>
      <c r="V904" s="11"/>
    </row>
    <row r="905" spans="9:22" ht="14.25" customHeight="1" x14ac:dyDescent="0.3">
      <c r="I905" s="11"/>
      <c r="V905" s="11"/>
    </row>
    <row r="906" spans="9:22" ht="14.25" customHeight="1" x14ac:dyDescent="0.3">
      <c r="I906" s="11"/>
      <c r="V906" s="11"/>
    </row>
    <row r="907" spans="9:22" ht="14.25" customHeight="1" x14ac:dyDescent="0.3">
      <c r="I907" s="11"/>
      <c r="V907" s="11"/>
    </row>
    <row r="908" spans="9:22" ht="14.25" customHeight="1" x14ac:dyDescent="0.3">
      <c r="I908" s="11"/>
      <c r="V908" s="11"/>
    </row>
    <row r="909" spans="9:22" ht="14.25" customHeight="1" x14ac:dyDescent="0.3">
      <c r="I909" s="11"/>
      <c r="V909" s="11"/>
    </row>
    <row r="910" spans="9:22" ht="14.25" customHeight="1" x14ac:dyDescent="0.3">
      <c r="I910" s="11"/>
      <c r="V910" s="11"/>
    </row>
    <row r="911" spans="9:22" ht="14.25" customHeight="1" x14ac:dyDescent="0.3">
      <c r="I911" s="11"/>
      <c r="V911" s="11"/>
    </row>
    <row r="912" spans="9:22" ht="14.25" customHeight="1" x14ac:dyDescent="0.3">
      <c r="I912" s="11"/>
      <c r="V912" s="11"/>
    </row>
    <row r="913" spans="9:22" ht="14.25" customHeight="1" x14ac:dyDescent="0.3">
      <c r="I913" s="11"/>
      <c r="V913" s="11"/>
    </row>
    <row r="914" spans="9:22" ht="14.25" customHeight="1" x14ac:dyDescent="0.3">
      <c r="I914" s="11"/>
      <c r="V914" s="11"/>
    </row>
    <row r="915" spans="9:22" ht="14.25" customHeight="1" x14ac:dyDescent="0.3">
      <c r="I915" s="11"/>
      <c r="V915" s="11"/>
    </row>
    <row r="916" spans="9:22" ht="14.25" customHeight="1" x14ac:dyDescent="0.3">
      <c r="I916" s="11"/>
      <c r="V916" s="11"/>
    </row>
    <row r="917" spans="9:22" ht="14.25" customHeight="1" x14ac:dyDescent="0.3">
      <c r="I917" s="11"/>
      <c r="V917" s="11"/>
    </row>
    <row r="918" spans="9:22" ht="14.25" customHeight="1" x14ac:dyDescent="0.3">
      <c r="I918" s="11"/>
      <c r="V918" s="11"/>
    </row>
    <row r="919" spans="9:22" ht="14.25" customHeight="1" x14ac:dyDescent="0.3">
      <c r="I919" s="11"/>
      <c r="V919" s="11"/>
    </row>
    <row r="920" spans="9:22" ht="14.25" customHeight="1" x14ac:dyDescent="0.3">
      <c r="I920" s="11"/>
      <c r="V920" s="11"/>
    </row>
    <row r="921" spans="9:22" ht="14.25" customHeight="1" x14ac:dyDescent="0.3">
      <c r="I921" s="11"/>
      <c r="V921" s="11"/>
    </row>
    <row r="922" spans="9:22" ht="14.25" customHeight="1" x14ac:dyDescent="0.3">
      <c r="I922" s="11"/>
      <c r="V922" s="11"/>
    </row>
    <row r="923" spans="9:22" ht="14.25" customHeight="1" x14ac:dyDescent="0.3">
      <c r="I923" s="11"/>
      <c r="V923" s="11"/>
    </row>
    <row r="924" spans="9:22" ht="14.25" customHeight="1" x14ac:dyDescent="0.3">
      <c r="I924" s="11"/>
      <c r="V924" s="11"/>
    </row>
    <row r="925" spans="9:22" ht="14.25" customHeight="1" x14ac:dyDescent="0.3">
      <c r="I925" s="11"/>
      <c r="V925" s="11"/>
    </row>
    <row r="926" spans="9:22" ht="14.25" customHeight="1" x14ac:dyDescent="0.3">
      <c r="I926" s="11"/>
      <c r="V926" s="11"/>
    </row>
    <row r="927" spans="9:22" ht="14.25" customHeight="1" x14ac:dyDescent="0.3">
      <c r="I927" s="11"/>
      <c r="V927" s="11"/>
    </row>
    <row r="928" spans="9:22" ht="14.25" customHeight="1" x14ac:dyDescent="0.3">
      <c r="I928" s="11"/>
      <c r="V928" s="11"/>
    </row>
    <row r="929" spans="9:22" ht="14.25" customHeight="1" x14ac:dyDescent="0.3">
      <c r="I929" s="11"/>
      <c r="V929" s="11"/>
    </row>
    <row r="930" spans="9:22" ht="14.25" customHeight="1" x14ac:dyDescent="0.3">
      <c r="I930" s="11"/>
      <c r="V930" s="11"/>
    </row>
    <row r="931" spans="9:22" ht="14.25" customHeight="1" x14ac:dyDescent="0.3">
      <c r="I931" s="11"/>
      <c r="V931" s="11"/>
    </row>
    <row r="932" spans="9:22" ht="14.25" customHeight="1" x14ac:dyDescent="0.3">
      <c r="I932" s="11"/>
      <c r="V932" s="11"/>
    </row>
    <row r="933" spans="9:22" ht="14.25" customHeight="1" x14ac:dyDescent="0.3">
      <c r="I933" s="11"/>
      <c r="V933" s="11"/>
    </row>
    <row r="934" spans="9:22" ht="14.25" customHeight="1" x14ac:dyDescent="0.3">
      <c r="I934" s="11"/>
      <c r="V934" s="11"/>
    </row>
    <row r="935" spans="9:22" ht="14.25" customHeight="1" x14ac:dyDescent="0.3">
      <c r="I935" s="11"/>
      <c r="V935" s="11"/>
    </row>
    <row r="936" spans="9:22" ht="14.25" customHeight="1" x14ac:dyDescent="0.3">
      <c r="I936" s="11"/>
      <c r="V936" s="11"/>
    </row>
    <row r="937" spans="9:22" ht="14.25" customHeight="1" x14ac:dyDescent="0.3">
      <c r="I937" s="11"/>
      <c r="V937" s="11"/>
    </row>
    <row r="938" spans="9:22" ht="14.25" customHeight="1" x14ac:dyDescent="0.3">
      <c r="I938" s="11"/>
      <c r="V938" s="11"/>
    </row>
    <row r="939" spans="9:22" ht="14.25" customHeight="1" x14ac:dyDescent="0.3">
      <c r="I939" s="11"/>
      <c r="V939" s="11"/>
    </row>
    <row r="940" spans="9:22" ht="14.25" customHeight="1" x14ac:dyDescent="0.3">
      <c r="I940" s="11"/>
      <c r="V940" s="11"/>
    </row>
    <row r="941" spans="9:22" ht="14.25" customHeight="1" x14ac:dyDescent="0.3">
      <c r="I941" s="11"/>
      <c r="V941" s="11"/>
    </row>
    <row r="942" spans="9:22" ht="14.25" customHeight="1" x14ac:dyDescent="0.3">
      <c r="I942" s="11"/>
      <c r="V942" s="11"/>
    </row>
    <row r="943" spans="9:22" ht="14.25" customHeight="1" x14ac:dyDescent="0.3">
      <c r="I943" s="11"/>
      <c r="V943" s="11"/>
    </row>
    <row r="944" spans="9:22" ht="14.25" customHeight="1" x14ac:dyDescent="0.3">
      <c r="I944" s="11"/>
      <c r="V944" s="11"/>
    </row>
    <row r="945" spans="9:22" ht="14.25" customHeight="1" x14ac:dyDescent="0.3">
      <c r="I945" s="11"/>
      <c r="V945" s="11"/>
    </row>
    <row r="946" spans="9:22" ht="14.25" customHeight="1" x14ac:dyDescent="0.3">
      <c r="I946" s="11"/>
      <c r="V946" s="11"/>
    </row>
    <row r="947" spans="9:22" ht="14.25" customHeight="1" x14ac:dyDescent="0.3">
      <c r="I947" s="11"/>
      <c r="V947" s="11"/>
    </row>
    <row r="948" spans="9:22" ht="14.25" customHeight="1" x14ac:dyDescent="0.3">
      <c r="I948" s="11"/>
      <c r="V948" s="11"/>
    </row>
    <row r="949" spans="9:22" ht="14.25" customHeight="1" x14ac:dyDescent="0.3">
      <c r="I949" s="11"/>
      <c r="V949" s="11"/>
    </row>
    <row r="950" spans="9:22" ht="14.25" customHeight="1" x14ac:dyDescent="0.3">
      <c r="I950" s="11"/>
      <c r="V950" s="11"/>
    </row>
    <row r="951" spans="9:22" ht="14.25" customHeight="1" x14ac:dyDescent="0.3">
      <c r="I951" s="11"/>
      <c r="V951" s="11"/>
    </row>
    <row r="952" spans="9:22" ht="14.25" customHeight="1" x14ac:dyDescent="0.3">
      <c r="I952" s="11"/>
      <c r="V952" s="11"/>
    </row>
    <row r="953" spans="9:22" ht="14.25" customHeight="1" x14ac:dyDescent="0.3">
      <c r="I953" s="11"/>
      <c r="V953" s="11"/>
    </row>
    <row r="954" spans="9:22" ht="14.25" customHeight="1" x14ac:dyDescent="0.3">
      <c r="I954" s="11"/>
      <c r="V954" s="11"/>
    </row>
    <row r="955" spans="9:22" ht="14.25" customHeight="1" x14ac:dyDescent="0.3">
      <c r="I955" s="11"/>
      <c r="V955" s="11"/>
    </row>
    <row r="956" spans="9:22" ht="14.25" customHeight="1" x14ac:dyDescent="0.3">
      <c r="I956" s="11"/>
      <c r="V956" s="11"/>
    </row>
    <row r="957" spans="9:22" ht="14.25" customHeight="1" x14ac:dyDescent="0.3">
      <c r="I957" s="11"/>
      <c r="V957" s="11"/>
    </row>
    <row r="958" spans="9:22" ht="14.25" customHeight="1" x14ac:dyDescent="0.3">
      <c r="I958" s="11"/>
      <c r="V958" s="11"/>
    </row>
    <row r="959" spans="9:22" ht="14.25" customHeight="1" x14ac:dyDescent="0.3">
      <c r="I959" s="11"/>
      <c r="V959" s="11"/>
    </row>
    <row r="960" spans="9:22" ht="14.25" customHeight="1" x14ac:dyDescent="0.3">
      <c r="I960" s="11"/>
      <c r="V960" s="11"/>
    </row>
    <row r="961" spans="9:22" ht="14.25" customHeight="1" x14ac:dyDescent="0.3">
      <c r="I961" s="11"/>
      <c r="V961" s="11"/>
    </row>
    <row r="962" spans="9:22" ht="14.25" customHeight="1" x14ac:dyDescent="0.3">
      <c r="I962" s="11"/>
      <c r="V962" s="11"/>
    </row>
    <row r="963" spans="9:22" ht="14.25" customHeight="1" x14ac:dyDescent="0.3">
      <c r="I963" s="11"/>
      <c r="V963" s="11"/>
    </row>
    <row r="964" spans="9:22" ht="14.25" customHeight="1" x14ac:dyDescent="0.3">
      <c r="I964" s="11"/>
      <c r="V964" s="11"/>
    </row>
    <row r="965" spans="9:22" ht="14.25" customHeight="1" x14ac:dyDescent="0.3">
      <c r="I965" s="11"/>
      <c r="V965" s="11"/>
    </row>
    <row r="966" spans="9:22" ht="14.25" customHeight="1" x14ac:dyDescent="0.3">
      <c r="I966" s="11"/>
      <c r="V966" s="11"/>
    </row>
    <row r="967" spans="9:22" ht="14.25" customHeight="1" x14ac:dyDescent="0.3">
      <c r="I967" s="11"/>
      <c r="V967" s="11"/>
    </row>
    <row r="968" spans="9:22" ht="14.25" customHeight="1" x14ac:dyDescent="0.3">
      <c r="I968" s="11"/>
      <c r="V968" s="11"/>
    </row>
    <row r="969" spans="9:22" ht="14.25" customHeight="1" x14ac:dyDescent="0.3">
      <c r="I969" s="11"/>
      <c r="V969" s="11"/>
    </row>
    <row r="970" spans="9:22" ht="14.25" customHeight="1" x14ac:dyDescent="0.3">
      <c r="I970" s="11"/>
      <c r="V970" s="11"/>
    </row>
    <row r="971" spans="9:22" ht="14.25" customHeight="1" x14ac:dyDescent="0.3">
      <c r="I971" s="11"/>
      <c r="V971" s="11"/>
    </row>
    <row r="972" spans="9:22" ht="14.25" customHeight="1" x14ac:dyDescent="0.3">
      <c r="I972" s="11"/>
      <c r="V972" s="11"/>
    </row>
    <row r="973" spans="9:22" ht="14.25" customHeight="1" x14ac:dyDescent="0.3">
      <c r="I973" s="11"/>
      <c r="V973" s="11"/>
    </row>
    <row r="974" spans="9:22" ht="14.25" customHeight="1" x14ac:dyDescent="0.3">
      <c r="I974" s="11"/>
      <c r="V974" s="11"/>
    </row>
    <row r="975" spans="9:22" ht="14.25" customHeight="1" x14ac:dyDescent="0.3">
      <c r="I975" s="11"/>
      <c r="V975" s="11"/>
    </row>
    <row r="976" spans="9:22" ht="14.25" customHeight="1" x14ac:dyDescent="0.3">
      <c r="I976" s="11"/>
      <c r="V976" s="11"/>
    </row>
    <row r="977" spans="9:22" ht="14.25" customHeight="1" x14ac:dyDescent="0.3">
      <c r="I977" s="11"/>
      <c r="V977" s="11"/>
    </row>
    <row r="978" spans="9:22" ht="14.25" customHeight="1" x14ac:dyDescent="0.3">
      <c r="I978" s="11"/>
      <c r="V978" s="11"/>
    </row>
    <row r="979" spans="9:22" ht="14.25" customHeight="1" x14ac:dyDescent="0.3">
      <c r="I979" s="11"/>
      <c r="V979" s="11"/>
    </row>
    <row r="980" spans="9:22" ht="14.25" customHeight="1" x14ac:dyDescent="0.3">
      <c r="I980" s="11"/>
      <c r="V980" s="11"/>
    </row>
    <row r="981" spans="9:22" ht="14.25" customHeight="1" x14ac:dyDescent="0.3">
      <c r="I981" s="11"/>
      <c r="V981" s="11"/>
    </row>
    <row r="982" spans="9:22" ht="14.25" customHeight="1" x14ac:dyDescent="0.3">
      <c r="I982" s="11"/>
      <c r="V982" s="11"/>
    </row>
    <row r="983" spans="9:22" ht="14.25" customHeight="1" x14ac:dyDescent="0.3">
      <c r="I983" s="11"/>
      <c r="V983" s="11"/>
    </row>
    <row r="984" spans="9:22" ht="14.25" customHeight="1" x14ac:dyDescent="0.3">
      <c r="I984" s="11"/>
      <c r="V984" s="11"/>
    </row>
    <row r="985" spans="9:22" ht="14.25" customHeight="1" x14ac:dyDescent="0.3">
      <c r="I985" s="11"/>
      <c r="V985" s="11"/>
    </row>
    <row r="986" spans="9:22" ht="14.25" customHeight="1" x14ac:dyDescent="0.3">
      <c r="I986" s="11"/>
      <c r="V986" s="11"/>
    </row>
    <row r="987" spans="9:22" ht="14.25" customHeight="1" x14ac:dyDescent="0.3">
      <c r="I987" s="11"/>
      <c r="V987" s="11"/>
    </row>
    <row r="988" spans="9:22" ht="14.25" customHeight="1" x14ac:dyDescent="0.3">
      <c r="I988" s="11"/>
      <c r="V988" s="11"/>
    </row>
    <row r="989" spans="9:22" ht="14.25" customHeight="1" x14ac:dyDescent="0.3">
      <c r="I989" s="11"/>
      <c r="V989" s="11"/>
    </row>
    <row r="990" spans="9:22" ht="14.25" customHeight="1" x14ac:dyDescent="0.3">
      <c r="I990" s="11"/>
      <c r="V990" s="11"/>
    </row>
    <row r="991" spans="9:22" ht="14.25" customHeight="1" x14ac:dyDescent="0.3">
      <c r="I991" s="11"/>
      <c r="V991" s="11"/>
    </row>
    <row r="992" spans="9:22" ht="14.25" customHeight="1" x14ac:dyDescent="0.3">
      <c r="I992" s="11"/>
      <c r="V992" s="11"/>
    </row>
    <row r="993" spans="9:22" ht="14.25" customHeight="1" x14ac:dyDescent="0.3">
      <c r="I993" s="11"/>
      <c r="V993" s="11"/>
    </row>
    <row r="994" spans="9:22" ht="14.25" customHeight="1" x14ac:dyDescent="0.3">
      <c r="I994" s="11"/>
      <c r="V994" s="11"/>
    </row>
    <row r="995" spans="9:22" ht="14.25" customHeight="1" x14ac:dyDescent="0.3">
      <c r="I995" s="11"/>
      <c r="V995" s="11"/>
    </row>
    <row r="996" spans="9:22" ht="14.25" customHeight="1" x14ac:dyDescent="0.3">
      <c r="I996" s="11"/>
      <c r="V996" s="11"/>
    </row>
    <row r="997" spans="9:22" ht="14.25" customHeight="1" x14ac:dyDescent="0.3">
      <c r="I997" s="11"/>
      <c r="V997" s="11"/>
    </row>
    <row r="998" spans="9:22" ht="14.25" customHeight="1" x14ac:dyDescent="0.3">
      <c r="I998" s="11"/>
      <c r="V998" s="11"/>
    </row>
    <row r="999" spans="9:22" ht="14.25" customHeight="1" x14ac:dyDescent="0.3">
      <c r="I999" s="11"/>
      <c r="V999" s="11"/>
    </row>
    <row r="1000" spans="9:22" ht="14.25" customHeight="1" x14ac:dyDescent="0.3">
      <c r="I1000" s="11"/>
      <c r="V1000" s="11"/>
    </row>
  </sheetData>
  <mergeCells count="1">
    <mergeCell ref="L72:V72"/>
  </mergeCells>
  <conditionalFormatting sqref="A20:A25 A36:A41">
    <cfRule type="containsBlanks" dxfId="20" priority="30">
      <formula>LEN(TRIM(V20))=0</formula>
    </cfRule>
  </conditionalFormatting>
  <conditionalFormatting sqref="A28:A33">
    <cfRule type="containsBlanks" dxfId="19" priority="31">
      <formula>LEN(TRIM(I28))=0</formula>
    </cfRule>
  </conditionalFormatting>
  <conditionalFormatting sqref="A44:A49">
    <cfRule type="containsBlanks" dxfId="18" priority="33">
      <formula>LEN(TRIM(V44))=0</formula>
    </cfRule>
  </conditionalFormatting>
  <conditionalFormatting sqref="A4:I9">
    <cfRule type="containsBlanks" dxfId="17" priority="21">
      <formula>LEN(TRIM(A4))=0</formula>
    </cfRule>
  </conditionalFormatting>
  <conditionalFormatting sqref="B12:I17">
    <cfRule type="containsBlanks" dxfId="16" priority="19">
      <formula>LEN(TRIM(B12))=0</formula>
    </cfRule>
  </conditionalFormatting>
  <conditionalFormatting sqref="B20:I25">
    <cfRule type="containsBlanks" dxfId="15" priority="17">
      <formula>LEN(TRIM(B20))=0</formula>
    </cfRule>
  </conditionalFormatting>
  <conditionalFormatting sqref="B28:I33">
    <cfRule type="containsBlanks" dxfId="14" priority="15">
      <formula>LEN(TRIM(B28))=0</formula>
    </cfRule>
  </conditionalFormatting>
  <conditionalFormatting sqref="B36:I41">
    <cfRule type="containsBlanks" dxfId="13" priority="13">
      <formula>LEN(TRIM(B36))=0</formula>
    </cfRule>
  </conditionalFormatting>
  <conditionalFormatting sqref="B44:I49">
    <cfRule type="containsBlanks" dxfId="12" priority="11">
      <formula>LEN(TRIM(B44))=0</formula>
    </cfRule>
  </conditionalFormatting>
  <conditionalFormatting sqref="K4:K9 A12:A17 K12:K17 A20:A25 K20:K25 A28:A33 K28:K33 A36:A41 K36:K41 A44:A49 K44:K49 K52:K57 K60:K65 K68:K73">
    <cfRule type="containsBlanks" dxfId="11" priority="29">
      <formula>LEN(TRIM(K4))=0</formula>
    </cfRule>
  </conditionalFormatting>
  <conditionalFormatting sqref="K68:K73">
    <cfRule type="containsBlanks" dxfId="10" priority="42">
      <formula>LEN(TRIM(K68))=0</formula>
    </cfRule>
  </conditionalFormatting>
  <conditionalFormatting sqref="K4:V9">
    <cfRule type="containsBlanks" dxfId="9" priority="10">
      <formula>LEN(TRIM(K4))=0</formula>
    </cfRule>
  </conditionalFormatting>
  <conditionalFormatting sqref="K12:V17">
    <cfRule type="containsBlanks" dxfId="8" priority="9">
      <formula>LEN(TRIM(K12))=0</formula>
    </cfRule>
  </conditionalFormatting>
  <conditionalFormatting sqref="K20:V25">
    <cfRule type="containsBlanks" dxfId="7" priority="8">
      <formula>LEN(TRIM(K20))=0</formula>
    </cfRule>
  </conditionalFormatting>
  <conditionalFormatting sqref="K28:V33">
    <cfRule type="containsBlanks" dxfId="6" priority="7">
      <formula>LEN(TRIM(K28))=0</formula>
    </cfRule>
  </conditionalFormatting>
  <conditionalFormatting sqref="K36:V41">
    <cfRule type="containsBlanks" dxfId="5" priority="6">
      <formula>LEN(TRIM(K36))=0</formula>
    </cfRule>
  </conditionalFormatting>
  <conditionalFormatting sqref="K44:V49">
    <cfRule type="containsBlanks" dxfId="4" priority="5">
      <formula>LEN(TRIM(K44))=0</formula>
    </cfRule>
  </conditionalFormatting>
  <conditionalFormatting sqref="K52:V57">
    <cfRule type="containsBlanks" dxfId="3" priority="4">
      <formula>LEN(TRIM(K52))=0</formula>
    </cfRule>
  </conditionalFormatting>
  <conditionalFormatting sqref="K60:V65">
    <cfRule type="containsBlanks" dxfId="2" priority="3">
      <formula>LEN(TRIM(K60))=0</formula>
    </cfRule>
  </conditionalFormatting>
  <conditionalFormatting sqref="L68:V71">
    <cfRule type="containsBlanks" dxfId="1" priority="2">
      <formula>LEN(TRIM(L68))=0</formula>
    </cfRule>
  </conditionalFormatting>
  <conditionalFormatting sqref="L73:V73">
    <cfRule type="containsBlanks" dxfId="0" priority="1">
      <formula>LEN(TRIM(L73))=0</formula>
    </cfRule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averaging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Hans Mulder - LR</dc:creator>
  <cp:keywords/>
  <dc:description/>
  <cp:lastModifiedBy>Jesse de Vries</cp:lastModifiedBy>
  <cp:revision/>
  <dcterms:created xsi:type="dcterms:W3CDTF">2013-02-25T15:54:42Z</dcterms:created>
  <dcterms:modified xsi:type="dcterms:W3CDTF">2026-03-12T13:00:54Z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0x0101008FD88E3DF60A5C45A3C8F7B0F50CDBB5</vt:lpwstr>
  </property>
</Properties>
</file>